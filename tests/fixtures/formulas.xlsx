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New_Office\tests\fixtures\"/>
    </mc:Choice>
  </mc:AlternateContent>
  <xr:revisionPtr revIDLastSave="0" documentId="8_{7BFB87DF-FBD7-4F93-A5F8-E05CED459066}" xr6:coauthVersionLast="47" xr6:coauthVersionMax="47" xr10:uidLastSave="{00000000-0000-0000-0000-000000000000}"/>
  <bookViews>
    <workbookView xWindow="2730" yWindow="2730" windowWidth="21600" windowHeight="11295" xr2:uid="{A190E3AF-7C41-421C-880B-C64AC6455259}"/>
  </bookViews>
  <sheets>
    <sheet name="Данные" sheetId="1" r:id="rId1"/>
    <sheet name="Кв1" sheetId="2" r:id="rId2"/>
    <sheet name="Кв2" sheetId="3" r:id="rId3"/>
    <sheet name="Кв3" sheetId="4" r:id="rId4"/>
    <sheet name="Формулы" sheetId="5" r:id="rId5"/>
  </sheets>
  <definedNames>
    <definedName name="Ставка">1/5</definedName>
    <definedName name="Суммы">Данные!$C$2:$C$11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52" i="5" l="1"/>
  <c r="C351" i="5"/>
  <c r="C350" i="5"/>
  <c r="C349" i="5"/>
  <c r="C348" i="5"/>
  <c r="C347" i="5"/>
  <c r="C346" i="5" a="1"/>
  <c r="C346" i="5" s="1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 a="1"/>
  <c r="C313" i="5" s="1"/>
  <c r="C312" i="5" a="1"/>
  <c r="C312" i="5" s="1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 a="1"/>
  <c r="C250" i="5" s="1"/>
  <c r="C249" i="5" a="1"/>
  <c r="C249" i="5" s="1"/>
  <c r="C248" i="5" a="1"/>
  <c r="C248" i="5" s="1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 a="1"/>
  <c r="C204" i="5" s="1"/>
  <c r="C203" i="5" a="1"/>
  <c r="C203" i="5"/>
  <c r="C202" i="5" a="1"/>
  <c r="C202" i="5"/>
  <c r="C201" i="5" a="1"/>
  <c r="C201" i="5" s="1"/>
  <c r="C200" i="5"/>
  <c r="C199" i="5"/>
  <c r="C198" i="5" a="1"/>
  <c r="C198" i="5" s="1"/>
  <c r="C197" i="5" a="1"/>
  <c r="C197" i="5" s="1"/>
  <c r="C196" i="5" a="1"/>
  <c r="C196" i="5" s="1"/>
  <c r="C195" i="5"/>
  <c r="C194" i="5" a="1"/>
  <c r="C194" i="5" s="1"/>
  <c r="C192" i="5"/>
  <c r="C191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59" i="5"/>
  <c r="C158" i="5"/>
  <c r="C157" i="5" a="1"/>
  <c r="C157" i="5" s="1"/>
  <c r="C156" i="5"/>
  <c r="C155" i="5"/>
  <c r="C154" i="5"/>
  <c r="C153" i="5"/>
  <c r="C152" i="5"/>
  <c r="C151" i="5"/>
  <c r="C150" i="5"/>
  <c r="C149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8" i="5"/>
  <c r="C127" i="5"/>
  <c r="C126" i="5"/>
  <c r="C125" i="5"/>
  <c r="C124" i="5"/>
  <c r="C122" i="5"/>
  <c r="C121" i="5"/>
  <c r="C120" i="5" a="1"/>
  <c r="C120" i="5" s="1"/>
  <c r="C119" i="5" a="1"/>
  <c r="C119" i="5" s="1"/>
  <c r="C118" i="5" a="1"/>
  <c r="C118" i="5" s="1"/>
  <c r="C117" i="5"/>
  <c r="C116" i="5"/>
  <c r="C115" i="5"/>
  <c r="C114" i="5"/>
  <c r="C113" i="5"/>
  <c r="C112" i="5"/>
  <c r="C111" i="5"/>
  <c r="C110" i="5"/>
  <c r="C109" i="5"/>
  <c r="C108" i="5"/>
  <c r="C107" i="5"/>
  <c r="C106" i="5" a="1"/>
  <c r="C106" i="5" s="1"/>
  <c r="C105" i="5" a="1"/>
  <c r="C105" i="5" s="1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G8" i="1"/>
  <c r="C129" i="5" s="1"/>
  <c r="G6" i="1"/>
  <c r="C289" i="5" s="1"/>
  <c r="C345" i="5"/>
  <c r="C190" i="5"/>
  <c r="C189" i="5" a="1"/>
  <c r="C161" i="5" l="1"/>
  <c r="C146" i="5"/>
  <c r="C163" i="5"/>
  <c r="C147" i="5"/>
  <c r="C160" i="5"/>
  <c r="C162" i="5"/>
  <c r="C43" i="5"/>
  <c r="C123" i="5"/>
  <c r="C148" i="5"/>
  <c r="C189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<sst xmlns="http://schemas.openxmlformats.org/spreadsheetml/2006/main" count="746" uniqueCount="395">
  <si>
    <t>Имя</t>
  </si>
  <si>
    <t>Отдел</t>
  </si>
  <si>
    <t>Сумма</t>
  </si>
  <si>
    <t>Дата</t>
  </si>
  <si>
    <t>Кол</t>
  </si>
  <si>
    <t>Флаг</t>
  </si>
  <si>
    <t>Смесь</t>
  </si>
  <si>
    <t>Текст</t>
  </si>
  <si>
    <t>Иван</t>
  </si>
  <si>
    <t>Продажи</t>
  </si>
  <si>
    <t xml:space="preserve">  Привет   мир </t>
  </si>
  <si>
    <t>Пётр</t>
  </si>
  <si>
    <t>Склад</t>
  </si>
  <si>
    <t>abc</t>
  </si>
  <si>
    <t>Мария</t>
  </si>
  <si>
    <t>ABC-123</t>
  </si>
  <si>
    <t>Анна</t>
  </si>
  <si>
    <t>Бухгалтерия</t>
  </si>
  <si>
    <t>Иванов Иван Иванович</t>
  </si>
  <si>
    <t>Олег</t>
  </si>
  <si>
    <t>a,b,c</t>
  </si>
  <si>
    <t>Москва</t>
  </si>
  <si>
    <t>Сумма: 100</t>
  </si>
  <si>
    <t>x</t>
  </si>
  <si>
    <t>Test</t>
  </si>
  <si>
    <t>Ольга</t>
  </si>
  <si>
    <t>тест</t>
  </si>
  <si>
    <t>12</t>
  </si>
  <si>
    <t>текст</t>
  </si>
  <si>
    <t>Группа</t>
  </si>
  <si>
    <t>Формула</t>
  </si>
  <si>
    <t>Excel</t>
  </si>
  <si>
    <t>Арифметика и операторы</t>
  </si>
  <si>
    <t>1+2*3</t>
  </si>
  <si>
    <t>(1+2)*3</t>
  </si>
  <si>
    <t>2^3^2</t>
  </si>
  <si>
    <t>-2^2</t>
  </si>
  <si>
    <t>10/4</t>
  </si>
  <si>
    <t>7/0</t>
  </si>
  <si>
    <t>5%</t>
  </si>
  <si>
    <t>50%*200</t>
  </si>
  <si>
    <t>"3"+4</t>
  </si>
  <si>
    <t>"abc"+1</t>
  </si>
  <si>
    <t>"1,5"+1</t>
  </si>
  <si>
    <t>TRUE+TRUE</t>
  </si>
  <si>
    <t>1=1</t>
  </si>
  <si>
    <t>"a"="A"</t>
  </si>
  <si>
    <t>"a"&lt;"b"</t>
  </si>
  <si>
    <t>"Б"&gt;"А"</t>
  </si>
  <si>
    <t>2&lt;"1"</t>
  </si>
  <si>
    <t>TRUE&gt;1</t>
  </si>
  <si>
    <t>"x"&amp;1.5</t>
  </si>
  <si>
    <t>1&amp;2</t>
  </si>
  <si>
    <t>""&amp;TRUE</t>
  </si>
  <si>
    <t>0.1+0.2</t>
  </si>
  <si>
    <t>0.1+0.2=0.3</t>
  </si>
  <si>
    <t>1/3*3</t>
  </si>
  <si>
    <t>10^-3</t>
  </si>
  <si>
    <t>1E+3</t>
  </si>
  <si>
    <t>123456789012345678</t>
  </si>
  <si>
    <t>1/3</t>
  </si>
  <si>
    <t>2/3+1000000</t>
  </si>
  <si>
    <t>Данные!C2+Данные!C3</t>
  </si>
  <si>
    <t>Данные!G4+1</t>
  </si>
  <si>
    <t>Данные!G4&amp;"x"</t>
  </si>
  <si>
    <t>Данные!G3*2</t>
  </si>
  <si>
    <t>Данные!G8+1</t>
  </si>
  <si>
    <t>Данные!G6+1</t>
  </si>
  <si>
    <t>Математика</t>
  </si>
  <si>
    <t>SUM(Данные!C2:C11)</t>
  </si>
  <si>
    <t>SUM(Данные!G2:G11)</t>
  </si>
  <si>
    <t>SUM(1,"2",TRUE)</t>
  </si>
  <si>
    <t>SUM(Данные!C2:C11,100)</t>
  </si>
  <si>
    <t>PRODUCT(Данные!E2:E6)</t>
  </si>
  <si>
    <t>AVERAGE(Данные!C2:C11)</t>
  </si>
  <si>
    <t>AVERAGE(Данные!G2:G11)</t>
  </si>
  <si>
    <t>MIN(Данные!C2:C11)</t>
  </si>
  <si>
    <t>MAX(Данные!C2:C11)</t>
  </si>
  <si>
    <t>MEDIAN(Данные!C2:C11)</t>
  </si>
  <si>
    <t>ABS(-3.5)</t>
  </si>
  <si>
    <t>SIGN(-0.1)</t>
  </si>
  <si>
    <t>INT(-2.5)</t>
  </si>
  <si>
    <t>INT(2.5)</t>
  </si>
  <si>
    <t>SQRT(16)</t>
  </si>
  <si>
    <t>SQRT(-1)</t>
  </si>
  <si>
    <t>PI()</t>
  </si>
  <si>
    <t>POWER(2,10)</t>
  </si>
  <si>
    <t>MOD(10,3)</t>
  </si>
  <si>
    <t>MOD(-10,3)</t>
  </si>
  <si>
    <t>MOD(10,-3)</t>
  </si>
  <si>
    <t>MOD(5,0)</t>
  </si>
  <si>
    <t>ROUND(2.345,2)</t>
  </si>
  <si>
    <t>ROUND(2.5,0)</t>
  </si>
  <si>
    <t>ROUND(-2.5,0)</t>
  </si>
  <si>
    <t>ROUND(1234.5678,-2)</t>
  </si>
  <si>
    <t>ROUND(0.285,2)</t>
  </si>
  <si>
    <t>ROUNDUP(2.341,2)</t>
  </si>
  <si>
    <t>ROUNDUP(-2.341,1)</t>
  </si>
  <si>
    <t>ROUNDDOWN(2.349,2)</t>
  </si>
  <si>
    <t>MROUND(10,3)</t>
  </si>
  <si>
    <t>MROUND(-10,-3)</t>
  </si>
  <si>
    <t>CEILING(2.1,1)</t>
  </si>
  <si>
    <t>CEILING(-2.1,-1)</t>
  </si>
  <si>
    <t>CEILING.MATH(-2.1)</t>
  </si>
  <si>
    <t>FLOOR(2.9,1)</t>
  </si>
  <si>
    <t>FLOOR.MATH(-2.1)</t>
  </si>
  <si>
    <t>TRUNC(-8.9)</t>
  </si>
  <si>
    <t>TRUNC(3.14159,2)</t>
  </si>
  <si>
    <t>EVEN(3)</t>
  </si>
  <si>
    <t>ODD(4)</t>
  </si>
  <si>
    <t>EXP(1)</t>
  </si>
  <si>
    <t>LN(10)</t>
  </si>
  <si>
    <t>LOG(100)</t>
  </si>
  <si>
    <t>LOG(8,2)</t>
  </si>
  <si>
    <t>LOG10(1000)</t>
  </si>
  <si>
    <t>FACT(5)</t>
  </si>
  <si>
    <t>GCD(12,18)</t>
  </si>
  <si>
    <t>LCM(4,6)</t>
  </si>
  <si>
    <t>QUOTIENT(7,2)</t>
  </si>
  <si>
    <t>SIN(PI()/2)</t>
  </si>
  <si>
    <t>COS(0)</t>
  </si>
  <si>
    <t>TAN(PI()/4)</t>
  </si>
  <si>
    <t>ATAN2(1,1)</t>
  </si>
  <si>
    <t>DEGREES(PI())</t>
  </si>
  <si>
    <t>RADIANS(180)</t>
  </si>
  <si>
    <t>ROMAN(1994)</t>
  </si>
  <si>
    <t>ARABIC("MCMXCIV")</t>
  </si>
  <si>
    <t>SUMSQ(1,2,3)</t>
  </si>
  <si>
    <t>COMBIN(5,2)</t>
  </si>
  <si>
    <t>PERMUT(5,2)</t>
  </si>
  <si>
    <t>BASE(255,16)</t>
  </si>
  <si>
    <t>DECIMAL("FF",16)</t>
  </si>
  <si>
    <t>SUM(Данные!C:C)</t>
  </si>
  <si>
    <t>SUM(Данные!2:2)</t>
  </si>
  <si>
    <t>SUM(Кв1:Кв3!A1)</t>
  </si>
  <si>
    <t>AVERAGE(Кв1:Кв3!B2)</t>
  </si>
  <si>
    <t>SUM(Суммы)</t>
  </si>
  <si>
    <t>1000*Ставка</t>
  </si>
  <si>
    <t>SUM(Суммы)*Ставка</t>
  </si>
  <si>
    <t>Логические</t>
  </si>
  <si>
    <t>IF(Данные!C2&gt;1000,"много","мало")</t>
  </si>
  <si>
    <t>IF(0,1)</t>
  </si>
  <si>
    <t>IF("",1,2)</t>
  </si>
  <si>
    <t>IF(Данные!G4,1,2)</t>
  </si>
  <si>
    <t>IFERROR(1/0,"ошибка")</t>
  </si>
  <si>
    <t>IFERROR(Данные!G6,"нет")</t>
  </si>
  <si>
    <t>AND(TRUE,1,"")</t>
  </si>
  <si>
    <t>AND(Данные!F2:F11)</t>
  </si>
  <si>
    <t>OR(Данные!F2:F11)</t>
  </si>
  <si>
    <t>NOT(0)</t>
  </si>
  <si>
    <t>XOR(TRUE,TRUE,TRUE)</t>
  </si>
  <si>
    <t>IFS(Данные!C3&gt;1000,"A",Данные!C3&gt;100,"B",TRUE,"C")</t>
  </si>
  <si>
    <t>SWITCH(2,1,"один",2,"два","иначе")</t>
  </si>
  <si>
    <t>SWITCH(9,1,"один","иначе")</t>
  </si>
  <si>
    <t>IFNA(NA(),"нет")</t>
  </si>
  <si>
    <t>IFNA(1/0,"нет")</t>
  </si>
  <si>
    <t>ISNA(Данные!G6)</t>
  </si>
  <si>
    <t>ISLOGICAL(Данные!F2)</t>
  </si>
  <si>
    <t>ISREF(Данные!A1)</t>
  </si>
  <si>
    <t>ISEVEN(4)</t>
  </si>
  <si>
    <t>ISODD(4)</t>
  </si>
  <si>
    <t>ISBLANK(Данные!G4)</t>
  </si>
  <si>
    <t>ISBLANK(Данные!G8)</t>
  </si>
  <si>
    <t>ISNUMBER(Данные!G3)</t>
  </si>
  <si>
    <t>ISTEXT(Данные!G8)</t>
  </si>
  <si>
    <t>ISERROR(Данные!G6)</t>
  </si>
  <si>
    <t>ISERR(Данные!G6)</t>
  </si>
  <si>
    <t>ISNONTEXT(Данные!G4)</t>
  </si>
  <si>
    <t>ISFORMULA(Данные!G6)</t>
  </si>
  <si>
    <t>N(Данные!G5)</t>
  </si>
  <si>
    <t>TYPE(Данные!G3)</t>
  </si>
  <si>
    <t>TYPE(Данные!G6)</t>
  </si>
  <si>
    <t>Условные итоги</t>
  </si>
  <si>
    <t>SUMIF(Данные!B2:B11,"Продажи",Данные!C2:C11)</t>
  </si>
  <si>
    <t>SUMIF(Данные!C2:C11,"&gt;1000")</t>
  </si>
  <si>
    <t>SUMIF(Данные!C2:C11,"&lt;&gt;0")</t>
  </si>
  <si>
    <t>SUMIF(Данные!A2:A11,"И*",Данные!E2:E11)</t>
  </si>
  <si>
    <t>SUMIF(Данные!A2:A11,"?????",Данные!E2:E11)</t>
  </si>
  <si>
    <t>COUNTIF(Данные!B2:B11,"склад")</t>
  </si>
  <si>
    <t>COUNTIF(Данные!C2:C11,"&gt;="&amp;1000)</t>
  </si>
  <si>
    <t>COUNTIF(Данные!G2:G11,"")</t>
  </si>
  <si>
    <t>COUNTIF(Данные!G2:G11,"&lt;&gt;")</t>
  </si>
  <si>
    <t>COUNTIF(Данные!G2:G11,12)</t>
  </si>
  <si>
    <t>COUNTIF(Данные!F2:F11,TRUE)</t>
  </si>
  <si>
    <t>AVERAGEIF(Данные!B2:B11,"Склад",Данные!C2:C11)</t>
  </si>
  <si>
    <t>SUMIFS(Данные!C2:C11,Данные!B2:B11,"Продажи",Данные!E2:E11,"&gt;3")</t>
  </si>
  <si>
    <t>COUNTIFS(Данные!B2:B11,"Склад",Данные!C2:C11,"&gt;0")</t>
  </si>
  <si>
    <t>AVERAGEIFS(Данные!C2:C11,Данные!B2:B11,"Продажи")</t>
  </si>
  <si>
    <t>MAXIFS(Данные!C2:C11,Данные!B2:B11,"Склад")</t>
  </si>
  <si>
    <t>MINIFS(Данные!C2:C11,Данные!B2:B11,"Склад")</t>
  </si>
  <si>
    <t>SUMPRODUCT(Данные!C2:C11,Данные!E2:E11)</t>
  </si>
  <si>
    <t>SUMPRODUCT((Данные!B2:B11="Склад")*Данные!C2:C11)</t>
  </si>
  <si>
    <t>SUBTOTAL(9,Данные!C2:C11)</t>
  </si>
  <si>
    <t>SUBTOTAL(101,Данные!C2:C11)</t>
  </si>
  <si>
    <t>AGGREGATE(9,6,Данные!G2:G11)</t>
  </si>
  <si>
    <t>COUNT(Данные!G2:G11)</t>
  </si>
  <si>
    <t>COUNTA(Данные!G2:G11)</t>
  </si>
  <si>
    <t>COUNTBLANK(Данные!G2:G11)</t>
  </si>
  <si>
    <t>Поиск и ссылки</t>
  </si>
  <si>
    <t>VLOOKUP("Мария",Данные!A2:C11,3,FALSE)</t>
  </si>
  <si>
    <t>VLOOKUP("мария",Данные!A2:C11,3,0)</t>
  </si>
  <si>
    <t>VLOOKUP("Нет",Данные!A2:C11,3,FALSE)</t>
  </si>
  <si>
    <t>VLOOKUP("Ма*",Данные!A2:C11,2,FALSE)</t>
  </si>
  <si>
    <t>VLOOKUP(2500,{0,"мало";1000,"средне";3000,"много"},2)</t>
  </si>
  <si>
    <t>HLOOKUP("Сумма",Данные!A1:H11,3,FALSE)</t>
  </si>
  <si>
    <t>LOOKUP(5,{1,4,7},{"a","b","c"})</t>
  </si>
  <si>
    <t>MATCH("Олег",Данные!A2:A11,0)</t>
  </si>
  <si>
    <t>MATCH(100,{10,50,200},1)</t>
  </si>
  <si>
    <t>MATCH(100,{200,50,10},-1)</t>
  </si>
  <si>
    <t>INDEX(Данные!A2:C11,4,3)</t>
  </si>
  <si>
    <t>INDEX(Данные!A2:A11,MATCH("Анна",Данные!A2:A11,0))</t>
  </si>
  <si>
    <t>INDEX({1,2;3,4},2,1)</t>
  </si>
  <si>
    <t>XLOOKUP("Олег",Данные!A2:A11,Данные!C2:C11)</t>
  </si>
  <si>
    <t>XLOOKUP("Нет",Данные!A2:A11,Данные!C2:C11,"не найдено")</t>
  </si>
  <si>
    <t>XLOOKUP("Иван",Данные!A2:A11,Данные!C2:C11,,0,-1)</t>
  </si>
  <si>
    <t>XMATCH("Анна",Данные!A2:A11)</t>
  </si>
  <si>
    <t>CHOOSE(2,"а","б","в")</t>
  </si>
  <si>
    <t>ROW(Данные!C5)</t>
  </si>
  <si>
    <t>COLUMN(Данные!C5)</t>
  </si>
  <si>
    <t>ROWS(Данные!A2:C11)</t>
  </si>
  <si>
    <t>COLUMNS(Данные!A2:C11)</t>
  </si>
  <si>
    <t>ADDRESS(2,3)</t>
  </si>
  <si>
    <t>ADDRESS(2,3,4)</t>
  </si>
  <si>
    <t>SUM(OFFSET(Данные!C2,1,0,3,1))</t>
  </si>
  <si>
    <t>INDIRECT("Данные!C3")</t>
  </si>
  <si>
    <t>SUM(INDIRECT("Данные!C2:C4"))</t>
  </si>
  <si>
    <t>RANK(980,Данные!C2:C11)</t>
  </si>
  <si>
    <t>RANK.EQ(980,Данные!C2:C11,1)</t>
  </si>
  <si>
    <t>RANK.AVG(1,{1,1,2})</t>
  </si>
  <si>
    <t>Excel не принял формулу</t>
  </si>
  <si>
    <t>Динамические массивы (свёрнуто до одного значения)</t>
  </si>
  <si>
    <t>SUM(FILTER(Данные!C2:C11,Данные!B2:B11="Склад"))</t>
  </si>
  <si>
    <t>ROWS(UNIQUE(Данные!A2:A11))</t>
  </si>
  <si>
    <t>INDEX(SORT(Данные!C2:C11),1)</t>
  </si>
  <si>
    <t>INDEX(SORT(Данные!C2:C11,1,-1),1)</t>
  </si>
  <si>
    <t>INDEX(SORTBY(Данные!A2:A11,Данные!C2:C11,-1),1)</t>
  </si>
  <si>
    <t>SUM(SEQUENCE(10))</t>
  </si>
  <si>
    <t>INDEX(SEQUENCE(3,3,10,5),3,2)</t>
  </si>
  <si>
    <t>INDEX(TRANSPOSE(Данные!A2:A4),1,3)</t>
  </si>
  <si>
    <t>SUM({1,2,3}*{4,5,6})</t>
  </si>
  <si>
    <t>SUM(Данные!C2:C11*(Данные!E2:E11&gt;3))</t>
  </si>
  <si>
    <t>MAX(IF(Данные!B2:B11="Продажи",Данные!C2:C11))</t>
  </si>
  <si>
    <t>TEXTJOIN(";",TRUE,UNIQUE(Данные!B2:B11))</t>
  </si>
  <si>
    <t>LEN(Данные!H2)</t>
  </si>
  <si>
    <t>TRIM(Данные!H2)</t>
  </si>
  <si>
    <t>UPPER(Данные!H3)</t>
  </si>
  <si>
    <t>LOWER("ПрИвЕт")</t>
  </si>
  <si>
    <t>PROPER("иванов иван")</t>
  </si>
  <si>
    <t>LEFT(Данные!H5,6)</t>
  </si>
  <si>
    <t>RIGHT(Данные!H4,3)</t>
  </si>
  <si>
    <t>MID(Данные!H5,8,4)</t>
  </si>
  <si>
    <t>LEFT("abc")</t>
  </si>
  <si>
    <t>FIND("-",Данные!H4)</t>
  </si>
  <si>
    <t>FIND("z","abc")</t>
  </si>
  <si>
    <t>SEARCH("иван",Данные!H5)</t>
  </si>
  <si>
    <t>SEARCH("?ва",Данные!H5)</t>
  </si>
  <si>
    <t>SUBSTITUTE(Данные!H6,",",";")</t>
  </si>
  <si>
    <t>SUBSTITUTE("a-a-a","a","b",2)</t>
  </si>
  <si>
    <t>REPLACE("abcdef",2,3,"X")</t>
  </si>
  <si>
    <t>REPT("ab",3)</t>
  </si>
  <si>
    <t>CONCATENATE("a",1,TRUE)</t>
  </si>
  <si>
    <t>CONCAT(Данные!A2:A4)</t>
  </si>
  <si>
    <t>TEXTJOIN(", ",TRUE,Данные!A2:A5)</t>
  </si>
  <si>
    <t>TEXTJOIN("-",FALSE,"a","","b")</t>
  </si>
  <si>
    <t>EXACT("abc","ABC")</t>
  </si>
  <si>
    <t>CHAR(65)</t>
  </si>
  <si>
    <t>CODE("A")</t>
  </si>
  <si>
    <t>UNICHAR(1046)</t>
  </si>
  <si>
    <t>UNICODE("Ж")</t>
  </si>
  <si>
    <t>CLEAN("a"&amp;CHAR(10)&amp;"b")</t>
  </si>
  <si>
    <t>VALUE("1 234,5")</t>
  </si>
  <si>
    <t>VALUE("12%")</t>
  </si>
  <si>
    <t>VALUE("abc")</t>
  </si>
  <si>
    <t>NUMBERVALUE("1.234,5",",",".")</t>
  </si>
  <si>
    <t>T(Данные!H3)</t>
  </si>
  <si>
    <t>T(5)</t>
  </si>
  <si>
    <t>TEXT(1234.567,"0.00")</t>
  </si>
  <si>
    <t>TEXT(1234.567,"# ##0,00")</t>
  </si>
  <si>
    <t>TEXT(0.256,"0%")</t>
  </si>
  <si>
    <t>TEXT(46301,"ДД.ММ.ГГГГ")</t>
  </si>
  <si>
    <t>TEXT(46301,"dd.mm.yyyy")</t>
  </si>
  <si>
    <t>TEXT(46301,"ДДДД")</t>
  </si>
  <si>
    <t>TEXT(46301,"ММММ ГГГГ")</t>
  </si>
  <si>
    <t>FIXED(1234.567,1)</t>
  </si>
  <si>
    <t>DOLLAR(1234.5)</t>
  </si>
  <si>
    <t>TEXTBEFORE(Данные!H8,":")</t>
  </si>
  <si>
    <t>TEXTAFTER(Данные!H8,": ")</t>
  </si>
  <si>
    <t>INDEX(TEXTSPLIT(Данные!H6,","),2)</t>
  </si>
  <si>
    <t>LEN(Данные!H5)-LEN(SUBSTITUTE(Данные!H5," ",""))+1</t>
  </si>
  <si>
    <t>Данные!A2&amp;" ("&amp;Данные!B2&amp;")"</t>
  </si>
  <si>
    <t>Дата и время</t>
  </si>
  <si>
    <t>DATE(2026,10,10)</t>
  </si>
  <si>
    <t>DATE(2026,13,1)</t>
  </si>
  <si>
    <t>DATE(2026,1,0)</t>
  </si>
  <si>
    <t>DATE(26,1,1)</t>
  </si>
  <si>
    <t>YEAR(Данные!D2)</t>
  </si>
  <si>
    <t>MONTH(Данные!D3)</t>
  </si>
  <si>
    <t>DAY(Данные!D6)</t>
  </si>
  <si>
    <t>DATE(1900,2,29)</t>
  </si>
  <si>
    <t>DATE(1900,3,1)</t>
  </si>
  <si>
    <t>WEEKDAY(Данные!D2)</t>
  </si>
  <si>
    <t>WEEKDAY(Данные!D2,2)</t>
  </si>
  <si>
    <t>WEEKNUM(Данные!D2,2)</t>
  </si>
  <si>
    <t>ISOWEEKNUM(Данные!D2)</t>
  </si>
  <si>
    <t>EDATE(Данные!D2,1)</t>
  </si>
  <si>
    <t>EDATE(DATE(2026,1,31),1)</t>
  </si>
  <si>
    <t>EOMONTH(Данные!D2,0)</t>
  </si>
  <si>
    <t>EOMONTH(Данные!D2,-1)</t>
  </si>
  <si>
    <t>WORKDAY(Данные!D2,10)</t>
  </si>
  <si>
    <t>WORKDAY.INTL(Данные!D2,10,11)</t>
  </si>
  <si>
    <t>NETWORKDAYS(Данные!D2,Данные!D3)</t>
  </si>
  <si>
    <t>NETWORKDAYS.INTL(Данные!D2,Данные!D3,1)</t>
  </si>
  <si>
    <t>DATEDIF(Данные!D6,Данные!D2,"y")</t>
  </si>
  <si>
    <t>DATEDIF(Данные!D6,Данные!D2,"m")</t>
  </si>
  <si>
    <t>DATEDIF(Данные!D6,Данные!D2,"md")</t>
  </si>
  <si>
    <t>DAYS(Данные!D3,Данные!D2)</t>
  </si>
  <si>
    <t>Данные!D3-Данные!D2</t>
  </si>
  <si>
    <t>YEARFRAC(Данные!D2,Данные!D3)</t>
  </si>
  <si>
    <t>YEARFRAC(Данные!D2,Данные!D3,1)</t>
  </si>
  <si>
    <t>DAYS360(Данные!D2,Данные!D3)</t>
  </si>
  <si>
    <t>TIME(14,30,0)</t>
  </si>
  <si>
    <t>HOUR(0.75)</t>
  </si>
  <si>
    <t>MINUTE(TIME(14,30,15))</t>
  </si>
  <si>
    <t>SECOND(TIME(14,30,15))</t>
  </si>
  <si>
    <t>DATEVALUE("15.01.2026")</t>
  </si>
  <si>
    <t>TIMEVALUE("14:30")</t>
  </si>
  <si>
    <t>Данные!D2+30</t>
  </si>
  <si>
    <t>Статистика</t>
  </si>
  <si>
    <t>AVERAGEA(Данные!G2:G11)</t>
  </si>
  <si>
    <t>MAXA(Данные!F2:F11)</t>
  </si>
  <si>
    <t>MINA(Данные!F2:F11)</t>
  </si>
  <si>
    <t>LARGE(Данные!C2:C11,2)</t>
  </si>
  <si>
    <t>SMALL(Данные!C2:C11,3)</t>
  </si>
  <si>
    <t>MODE(Данные!E2:E11)</t>
  </si>
  <si>
    <t>MODE.SNGL(Данные!E2:E11)</t>
  </si>
  <si>
    <t>STDEV(Данные!C2:C11)</t>
  </si>
  <si>
    <t>STDEV.S(Данные!C2:C11)</t>
  </si>
  <si>
    <t>STDEV.P(Данные!C2:C11)</t>
  </si>
  <si>
    <t>STDEVP(Данные!C2:C11)</t>
  </si>
  <si>
    <t>VAR(Данные!C2:C11)</t>
  </si>
  <si>
    <t>VAR.P(Данные!C2:C11)</t>
  </si>
  <si>
    <t>QUARTILE(Данные!C2:C11,1)</t>
  </si>
  <si>
    <t>QUARTILE.EXC(Данные!C2:C11,1)</t>
  </si>
  <si>
    <t>PERCENTILE(Данные!C2:C11,0.9)</t>
  </si>
  <si>
    <t>PERCENTILE.EXC(Данные!C2:C11,0.9)</t>
  </si>
  <si>
    <t>PERCENTRANK(Данные!C2:C11,980)</t>
  </si>
  <si>
    <t>CORREL(Данные!C2:C11,Данные!E2:E11)</t>
  </si>
  <si>
    <t>SLOPE(Данные!C2:C11,Данные!E2:E11)</t>
  </si>
  <si>
    <t>INTERCEPT(Данные!C2:C11,Данные!E2:E11)</t>
  </si>
  <si>
    <t>FORECAST(10,Данные!C2:C11,Данные!E2:E11)</t>
  </si>
  <si>
    <t>FORECAST.LINEAR(10,Данные!C2:C11,Данные!E2:E11)</t>
  </si>
  <si>
    <t>INDEX(TREND(Данные!C2:C11,Данные!E2:E11),1)</t>
  </si>
  <si>
    <t>INDEX(FREQUENCY(Данные!C2:C11,{0,1000,3000}),2)</t>
  </si>
  <si>
    <t>GEOMEAN(Данные!E2:E11)</t>
  </si>
  <si>
    <t>HARMEAN(Данные!E2:E11)</t>
  </si>
  <si>
    <t>AVEDEV(Данные!C2:C11)</t>
  </si>
  <si>
    <t>DEVSQ(Данные!C2:C11)</t>
  </si>
  <si>
    <t>COUNTA(Данные!A:A)</t>
  </si>
  <si>
    <t>NORM.DIST(1,0,1,TRUE)</t>
  </si>
  <si>
    <t>NORM.INV(0.95,0,1)</t>
  </si>
  <si>
    <t>NORM.S.DIST(1.96,TRUE)</t>
  </si>
  <si>
    <t>Финансы</t>
  </si>
  <si>
    <t>PMT(0.1/12,36,-100000)</t>
  </si>
  <si>
    <t>PMT(0.08,10,10000,0,1)</t>
  </si>
  <si>
    <t>IPMT(0.1/12,1,36,-100000)</t>
  </si>
  <si>
    <t>PPMT(0.1/12,1,36,-100000)</t>
  </si>
  <si>
    <t>FV(0.05,10,-100)</t>
  </si>
  <si>
    <t>PV(0.05,10,-100)</t>
  </si>
  <si>
    <t>NPER(0.01,-100,1000)</t>
  </si>
  <si>
    <t>RATE(36,-3000,100000)</t>
  </si>
  <si>
    <t>NPV(0.1,-1000,300,400,500)</t>
  </si>
  <si>
    <t>IRR({-1000,300,400,500})</t>
  </si>
  <si>
    <t>XNPV(0.1,{-1000,600,600},{46023,46388,46753})</t>
  </si>
  <si>
    <t>XIRR({-1000,600,600},{46023,46388,46753})</t>
  </si>
  <si>
    <t>SLN(10000,1000,5)</t>
  </si>
  <si>
    <t>DB(10000,1000,5,1)</t>
  </si>
  <si>
    <t>DDB(10000,1000,5,1)</t>
  </si>
  <si>
    <t>SYD(10000,1000,5,1)</t>
  </si>
  <si>
    <t>EFFECT(0.1,12)</t>
  </si>
  <si>
    <t>NOMINAL(0.1047,12)</t>
  </si>
  <si>
    <t>Информация и прочее</t>
  </si>
  <si>
    <t>NA()</t>
  </si>
  <si>
    <t>ISNA(NA())</t>
  </si>
  <si>
    <t>ERROR.TYPE(1/0)</t>
  </si>
  <si>
    <t>SHEET()</t>
  </si>
  <si>
    <t>SHEETS()</t>
  </si>
  <si>
    <t>FORMULATEXT(Данные!G6)</t>
  </si>
  <si>
    <t>CELL("row",Данные!C5)</t>
  </si>
  <si>
    <t>LET(x,5,y,x*2,x+y)</t>
  </si>
  <si>
    <t>ROWS(Данные!A:A)</t>
  </si>
  <si>
    <t>Летучие (только тип)</t>
  </si>
  <si>
    <t>TODAY()</t>
  </si>
  <si>
    <t>NOW()</t>
  </si>
  <si>
    <t>RAND()</t>
  </si>
  <si>
    <t>RANDBETWEEN(1,10)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</si>
</sst>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dd\.mm\.yyyy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164" fontId="0" fillId="0" borderId="0" xfId="0" applyNumberFormat="1"/>
    <xf numFmtId="14" fontId="0" fillId="0" borderId="0" xfId="0" applyNumberFormat="1"/>
    <xf numFmtId="18" fontId="0" fillId="0" borderId="0" xfId="0" applyNumberFormat="1"/>
    <xf numFmtId="8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4BA16-234D-4D9F-9E3D-73FECC539606}">
  <dimension ref="A1:H11"/>
  <sheetViews>
    <sheetView tabSelected="1" workbookViewId="0"/>
  </sheetViews>
  <sheetFormatPr defaultRowHeight="15" x14ac:dyDescent="0.25"/>
  <cols>
    <col min="4" max="4" width="10.14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9</v>
      </c>
      <c r="C2">
        <v>1500</v>
      </c>
      <c r="D2" s="2">
        <v>46037</v>
      </c>
      <c r="E2">
        <v>3</v>
      </c>
      <c r="F2" t="b">
        <v>1</v>
      </c>
      <c r="G2">
        <v>5</v>
      </c>
      <c r="H2" s="1" t="s">
        <v>10</v>
      </c>
    </row>
    <row r="3" spans="1:8" x14ac:dyDescent="0.25">
      <c r="A3" t="s">
        <v>11</v>
      </c>
      <c r="B3" t="s">
        <v>12</v>
      </c>
      <c r="C3">
        <v>230.5</v>
      </c>
      <c r="D3" s="2">
        <v>46081</v>
      </c>
      <c r="E3">
        <v>1</v>
      </c>
      <c r="F3" t="b">
        <v>0</v>
      </c>
      <c r="G3" s="1" t="s">
        <v>27</v>
      </c>
      <c r="H3" s="1" t="s">
        <v>13</v>
      </c>
    </row>
    <row r="4" spans="1:8" x14ac:dyDescent="0.25">
      <c r="A4" t="s">
        <v>14</v>
      </c>
      <c r="B4" t="s">
        <v>9</v>
      </c>
      <c r="C4">
        <v>980</v>
      </c>
      <c r="D4" s="2">
        <v>46022</v>
      </c>
      <c r="E4">
        <v>7</v>
      </c>
      <c r="F4" t="b">
        <v>1</v>
      </c>
      <c r="H4" s="1" t="s">
        <v>15</v>
      </c>
    </row>
    <row r="5" spans="1:8" x14ac:dyDescent="0.25">
      <c r="A5" t="s">
        <v>16</v>
      </c>
      <c r="B5" t="s">
        <v>17</v>
      </c>
      <c r="C5">
        <v>4200</v>
      </c>
      <c r="D5" s="2">
        <v>46082</v>
      </c>
      <c r="E5">
        <v>2</v>
      </c>
      <c r="F5" t="b">
        <v>0</v>
      </c>
      <c r="G5" t="b">
        <v>1</v>
      </c>
      <c r="H5" s="1" t="s">
        <v>18</v>
      </c>
    </row>
    <row r="6" spans="1:8" x14ac:dyDescent="0.25">
      <c r="A6" t="s">
        <v>19</v>
      </c>
      <c r="B6" t="s">
        <v>12</v>
      </c>
      <c r="C6">
        <v>0</v>
      </c>
      <c r="D6" s="2">
        <v>45351</v>
      </c>
      <c r="E6">
        <v>5</v>
      </c>
      <c r="F6" t="b">
        <v>1</v>
      </c>
      <c r="G6" t="e">
        <f>NA()</f>
        <v>#N/A</v>
      </c>
      <c r="H6" s="1" t="s">
        <v>20</v>
      </c>
    </row>
    <row r="7" spans="1:8" x14ac:dyDescent="0.25">
      <c r="A7" t="s">
        <v>8</v>
      </c>
      <c r="B7" t="s">
        <v>9</v>
      </c>
      <c r="C7">
        <v>15.25</v>
      </c>
      <c r="D7" s="2">
        <v>46203</v>
      </c>
      <c r="E7">
        <v>8</v>
      </c>
      <c r="F7" t="b">
        <v>0</v>
      </c>
      <c r="G7">
        <v>3.5</v>
      </c>
      <c r="H7" s="1" t="s">
        <v>21</v>
      </c>
    </row>
    <row r="8" spans="1:8" x14ac:dyDescent="0.25">
      <c r="A8" t="s">
        <v>14</v>
      </c>
      <c r="B8" t="s">
        <v>17</v>
      </c>
      <c r="C8">
        <v>3100</v>
      </c>
      <c r="D8" s="2">
        <v>46305</v>
      </c>
      <c r="E8">
        <v>1</v>
      </c>
      <c r="F8" t="b">
        <v>1</v>
      </c>
      <c r="G8" t="str">
        <f>""</f>
        <v/>
      </c>
      <c r="H8" s="1" t="s">
        <v>22</v>
      </c>
    </row>
    <row r="9" spans="1:8" x14ac:dyDescent="0.25">
      <c r="A9" t="s">
        <v>11</v>
      </c>
      <c r="B9" t="s">
        <v>12</v>
      </c>
      <c r="C9">
        <v>-200</v>
      </c>
      <c r="D9" s="2">
        <v>44927</v>
      </c>
      <c r="E9">
        <v>4</v>
      </c>
      <c r="F9" t="b">
        <v>0</v>
      </c>
      <c r="G9">
        <v>-2</v>
      </c>
      <c r="H9" s="1" t="s">
        <v>23</v>
      </c>
    </row>
    <row r="10" spans="1:8" x14ac:dyDescent="0.25">
      <c r="A10" t="s">
        <v>16</v>
      </c>
      <c r="B10" t="s">
        <v>9</v>
      </c>
      <c r="C10">
        <v>760</v>
      </c>
      <c r="D10" s="2">
        <v>46381</v>
      </c>
      <c r="E10">
        <v>6</v>
      </c>
      <c r="F10" t="b">
        <v>1</v>
      </c>
      <c r="G10" t="s">
        <v>28</v>
      </c>
      <c r="H10" s="1" t="s">
        <v>24</v>
      </c>
    </row>
    <row r="11" spans="1:8" x14ac:dyDescent="0.25">
      <c r="A11" t="s">
        <v>25</v>
      </c>
      <c r="B11" t="s">
        <v>12</v>
      </c>
      <c r="C11">
        <v>1200</v>
      </c>
      <c r="D11" s="2">
        <v>46151</v>
      </c>
      <c r="E11">
        <v>2</v>
      </c>
      <c r="F11" t="b">
        <v>0</v>
      </c>
      <c r="G11">
        <v>0</v>
      </c>
      <c r="H11" s="1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A5A25-B47C-45F1-AF97-FF859B68BD27}">
  <dimension ref="A1:B2"/>
  <sheetViews>
    <sheetView workbookViewId="0"/>
  </sheetViews>
  <sheetFormatPr defaultRowHeight="15" x14ac:dyDescent="0.25"/>
  <sheetData>
    <row r="1" spans="1:2" x14ac:dyDescent="0.25">
      <c r="A1">
        <v>10</v>
      </c>
    </row>
    <row r="2" spans="1:2" x14ac:dyDescent="0.25">
      <c r="B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CEE06-8B43-486A-8169-4A15DAE01FB3}">
  <dimension ref="A1:B2"/>
  <sheetViews>
    <sheetView workbookViewId="0"/>
  </sheetViews>
  <sheetFormatPr defaultRowHeight="15" x14ac:dyDescent="0.25"/>
  <sheetData>
    <row r="1" spans="1:2" x14ac:dyDescent="0.25">
      <c r="A1">
        <v>20</v>
      </c>
    </row>
    <row r="2" spans="1:2" x14ac:dyDescent="0.25">
      <c r="B2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6B245-BB02-42FC-AA89-74DDF81DF596}">
  <dimension ref="A1:B2"/>
  <sheetViews>
    <sheetView workbookViewId="0"/>
  </sheetViews>
  <sheetFormatPr defaultRowHeight="15" x14ac:dyDescent="0.25"/>
  <sheetData>
    <row r="1" spans="1:2" x14ac:dyDescent="0.25">
      <c r="A1">
        <v>30</v>
      </c>
    </row>
    <row r="2" spans="1:2" x14ac:dyDescent="0.25">
      <c r="B2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EFDAA-5BFA-42AF-B256-C09AA09F86EC}">
  <dimension ref="A1:D352"/>
  <sheetViews>
    <sheetView workbookViewId="0"/>
  </sheetViews>
  <sheetFormatPr defaultRowHeight="15" x14ac:dyDescent="0.25"/>
  <cols>
    <col min="2" max="2" width="9.140625" style="1"/>
  </cols>
  <sheetData>
    <row r="1" spans="1:3" x14ac:dyDescent="0.25">
      <c r="A1" t="s">
        <v>29</v>
      </c>
      <c r="B1" s="1" t="s">
        <v>30</v>
      </c>
      <c r="C1" t="s">
        <v>31</v>
      </c>
    </row>
    <row r="2" spans="1:3" x14ac:dyDescent="0.25">
      <c r="A2" t="s">
        <v>32</v>
      </c>
      <c r="B2" s="1" t="s">
        <v>33</v>
      </c>
      <c r="C2">
        <f>1+2*3</f>
        <v>7</v>
      </c>
    </row>
    <row r="3" spans="1:3" x14ac:dyDescent="0.25">
      <c r="A3" t="s">
        <v>32</v>
      </c>
      <c r="B3" s="1" t="s">
        <v>34</v>
      </c>
      <c r="C3">
        <f>(1+2)*3</f>
        <v>9</v>
      </c>
    </row>
    <row r="4" spans="1:3" x14ac:dyDescent="0.25">
      <c r="A4" t="s">
        <v>32</v>
      </c>
      <c r="B4" s="1" t="s">
        <v>35</v>
      </c>
      <c r="C4">
        <f>2^3^2</f>
        <v>64</v>
      </c>
    </row>
    <row r="5" spans="1:3" x14ac:dyDescent="0.25">
      <c r="A5" t="s">
        <v>32</v>
      </c>
      <c r="B5" s="1" t="s">
        <v>36</v>
      </c>
      <c r="C5">
        <f>-2^2</f>
        <v>4</v>
      </c>
    </row>
    <row r="6" spans="1:3" x14ac:dyDescent="0.25">
      <c r="A6" t="s">
        <v>32</v>
      </c>
      <c r="B6" s="1" t="s">
        <v>37</v>
      </c>
      <c r="C6">
        <f>10/4</f>
        <v>2.5</v>
      </c>
    </row>
    <row r="7" spans="1:3" x14ac:dyDescent="0.25">
      <c r="A7" t="s">
        <v>32</v>
      </c>
      <c r="B7" s="1" t="s">
        <v>38</v>
      </c>
      <c r="C7" t="e">
        <f>7/0</f>
        <v>#DIV/0!</v>
      </c>
    </row>
    <row r="8" spans="1:3" x14ac:dyDescent="0.25">
      <c r="A8" t="s">
        <v>32</v>
      </c>
      <c r="B8" s="1" t="s">
        <v>39</v>
      </c>
      <c r="C8">
        <f>5%</f>
        <v>0.05</v>
      </c>
    </row>
    <row r="9" spans="1:3" x14ac:dyDescent="0.25">
      <c r="A9" t="s">
        <v>32</v>
      </c>
      <c r="B9" s="1" t="s">
        <v>40</v>
      </c>
      <c r="C9">
        <f>50%*200</f>
        <v>100</v>
      </c>
    </row>
    <row r="10" spans="1:3" x14ac:dyDescent="0.25">
      <c r="A10" t="s">
        <v>32</v>
      </c>
      <c r="B10" s="1" t="s">
        <v>41</v>
      </c>
      <c r="C10">
        <f>"3"+4</f>
        <v>7</v>
      </c>
    </row>
    <row r="11" spans="1:3" x14ac:dyDescent="0.25">
      <c r="A11" t="s">
        <v>32</v>
      </c>
      <c r="B11" s="1" t="s">
        <v>42</v>
      </c>
      <c r="C11" t="e">
        <f>"abc"+1</f>
        <v>#VALUE!</v>
      </c>
    </row>
    <row r="12" spans="1:3" x14ac:dyDescent="0.25">
      <c r="A12" t="s">
        <v>32</v>
      </c>
      <c r="B12" s="1" t="s">
        <v>43</v>
      </c>
      <c r="C12">
        <f>"1,5"+1</f>
        <v>2.5</v>
      </c>
    </row>
    <row r="13" spans="1:3" x14ac:dyDescent="0.25">
      <c r="A13" t="s">
        <v>32</v>
      </c>
      <c r="B13" s="1" t="s">
        <v>44</v>
      </c>
      <c r="C13">
        <f>TRUE+TRUE</f>
        <v>2</v>
      </c>
    </row>
    <row r="14" spans="1:3" x14ac:dyDescent="0.25">
      <c r="A14" t="s">
        <v>32</v>
      </c>
      <c r="B14" s="1" t="s">
        <v>45</v>
      </c>
      <c r="C14" t="b">
        <f>1=1</f>
        <v>1</v>
      </c>
    </row>
    <row r="15" spans="1:3" x14ac:dyDescent="0.25">
      <c r="A15" t="s">
        <v>32</v>
      </c>
      <c r="B15" s="1" t="s">
        <v>46</v>
      </c>
      <c r="C15" t="b">
        <f>"a"="A"</f>
        <v>1</v>
      </c>
    </row>
    <row r="16" spans="1:3" x14ac:dyDescent="0.25">
      <c r="A16" t="s">
        <v>32</v>
      </c>
      <c r="B16" s="1" t="s">
        <v>47</v>
      </c>
      <c r="C16" t="b">
        <f>"a"&lt;"b"</f>
        <v>1</v>
      </c>
    </row>
    <row r="17" spans="1:3" x14ac:dyDescent="0.25">
      <c r="A17" t="s">
        <v>32</v>
      </c>
      <c r="B17" s="1" t="s">
        <v>48</v>
      </c>
      <c r="C17" t="b">
        <f>"Б"&gt;"А"</f>
        <v>1</v>
      </c>
    </row>
    <row r="18" spans="1:3" x14ac:dyDescent="0.25">
      <c r="A18" t="s">
        <v>32</v>
      </c>
      <c r="B18" s="1" t="s">
        <v>49</v>
      </c>
      <c r="C18" t="b">
        <f>2&lt;"1"</f>
        <v>1</v>
      </c>
    </row>
    <row r="19" spans="1:3" x14ac:dyDescent="0.25">
      <c r="A19" t="s">
        <v>32</v>
      </c>
      <c r="B19" s="1" t="s">
        <v>50</v>
      </c>
      <c r="C19" t="b">
        <f>TRUE&gt;1</f>
        <v>1</v>
      </c>
    </row>
    <row r="20" spans="1:3" x14ac:dyDescent="0.25">
      <c r="A20" t="s">
        <v>32</v>
      </c>
      <c r="B20" s="1" t="s">
        <v>51</v>
      </c>
      <c r="C20" t="str">
        <f>"x"&amp;1.5</f>
        <v>x1,5</v>
      </c>
    </row>
    <row r="21" spans="1:3" x14ac:dyDescent="0.25">
      <c r="A21" t="s">
        <v>32</v>
      </c>
      <c r="B21" s="1" t="s">
        <v>52</v>
      </c>
      <c r="C21" t="str">
        <f>1&amp;2</f>
        <v>12</v>
      </c>
    </row>
    <row r="22" spans="1:3" x14ac:dyDescent="0.25">
      <c r="A22" t="s">
        <v>32</v>
      </c>
      <c r="B22" s="1" t="s">
        <v>53</v>
      </c>
      <c r="C22" t="str">
        <f>""&amp;TRUE</f>
        <v>ИСТИНА</v>
      </c>
    </row>
    <row r="23" spans="1:3" x14ac:dyDescent="0.25">
      <c r="A23" t="s">
        <v>32</v>
      </c>
      <c r="B23" s="1" t="s">
        <v>54</v>
      </c>
      <c r="C23">
        <f>0.1+0.2</f>
        <v>0.30000000000000004</v>
      </c>
    </row>
    <row r="24" spans="1:3" x14ac:dyDescent="0.25">
      <c r="A24" t="s">
        <v>32</v>
      </c>
      <c r="B24" s="1" t="s">
        <v>55</v>
      </c>
      <c r="C24" t="b">
        <f>0.1+0.2=0.3</f>
        <v>1</v>
      </c>
    </row>
    <row r="25" spans="1:3" x14ac:dyDescent="0.25">
      <c r="A25" t="s">
        <v>32</v>
      </c>
      <c r="B25" s="1" t="s">
        <v>56</v>
      </c>
      <c r="C25">
        <f>1/3*3</f>
        <v>1</v>
      </c>
    </row>
    <row r="26" spans="1:3" x14ac:dyDescent="0.25">
      <c r="A26" t="s">
        <v>32</v>
      </c>
      <c r="B26" s="1" t="s">
        <v>57</v>
      </c>
      <c r="C26">
        <f>10^-3</f>
        <v>1E-3</v>
      </c>
    </row>
    <row r="27" spans="1:3" x14ac:dyDescent="0.25">
      <c r="A27" t="s">
        <v>32</v>
      </c>
      <c r="B27" s="1" t="s">
        <v>58</v>
      </c>
      <c r="C27">
        <f>1000</f>
        <v>1000</v>
      </c>
    </row>
    <row r="28" spans="1:3" x14ac:dyDescent="0.25">
      <c r="A28" t="s">
        <v>32</v>
      </c>
      <c r="B28" s="1" t="s">
        <v>59</v>
      </c>
      <c r="C28">
        <f>123456789012345000</f>
        <v>1.2345678901234499E+17</v>
      </c>
    </row>
    <row r="29" spans="1:3" x14ac:dyDescent="0.25">
      <c r="A29" t="s">
        <v>32</v>
      </c>
      <c r="B29" s="1" t="s">
        <v>60</v>
      </c>
      <c r="C29">
        <f>1/3</f>
        <v>0.33333333333333331</v>
      </c>
    </row>
    <row r="30" spans="1:3" x14ac:dyDescent="0.25">
      <c r="A30" t="s">
        <v>32</v>
      </c>
      <c r="B30" s="1" t="s">
        <v>61</v>
      </c>
      <c r="C30">
        <f>2/3+1000000</f>
        <v>1000000.6666666666</v>
      </c>
    </row>
    <row r="31" spans="1:3" x14ac:dyDescent="0.25">
      <c r="A31" t="s">
        <v>32</v>
      </c>
      <c r="B31" s="1" t="s">
        <v>62</v>
      </c>
      <c r="C31">
        <f>Данные!C2+Данные!C3</f>
        <v>1730.5</v>
      </c>
    </row>
    <row r="32" spans="1:3" x14ac:dyDescent="0.25">
      <c r="A32" t="s">
        <v>32</v>
      </c>
      <c r="B32" s="1" t="s">
        <v>63</v>
      </c>
      <c r="C32">
        <f>Данные!G4+1</f>
        <v>1</v>
      </c>
    </row>
    <row r="33" spans="1:3" x14ac:dyDescent="0.25">
      <c r="A33" t="s">
        <v>32</v>
      </c>
      <c r="B33" s="1" t="s">
        <v>64</v>
      </c>
      <c r="C33" t="str">
        <f>Данные!G4&amp;"x"</f>
        <v>x</v>
      </c>
    </row>
    <row r="34" spans="1:3" x14ac:dyDescent="0.25">
      <c r="A34" t="s">
        <v>32</v>
      </c>
      <c r="B34" s="1" t="s">
        <v>65</v>
      </c>
      <c r="C34">
        <f>Данные!G3*2</f>
        <v>24</v>
      </c>
    </row>
    <row r="35" spans="1:3" x14ac:dyDescent="0.25">
      <c r="A35" t="s">
        <v>32</v>
      </c>
      <c r="B35" s="1" t="s">
        <v>66</v>
      </c>
      <c r="C35" t="e">
        <f>Данные!G8+1</f>
        <v>#VALUE!</v>
      </c>
    </row>
    <row r="36" spans="1:3" x14ac:dyDescent="0.25">
      <c r="A36" t="s">
        <v>32</v>
      </c>
      <c r="B36" s="1" t="s">
        <v>67</v>
      </c>
      <c r="C36" t="e">
        <f>Данные!G6+1</f>
        <v>#N/A</v>
      </c>
    </row>
    <row r="37" spans="1:3" x14ac:dyDescent="0.25">
      <c r="A37" t="s">
        <v>68</v>
      </c>
      <c r="B37" s="1" t="s">
        <v>69</v>
      </c>
      <c r="C37">
        <f>SUM(Данные!C2:C11)</f>
        <v>11785.75</v>
      </c>
    </row>
    <row r="38" spans="1:3" x14ac:dyDescent="0.25">
      <c r="A38" t="s">
        <v>68</v>
      </c>
      <c r="B38" s="1" t="s">
        <v>70</v>
      </c>
      <c r="C38" t="e">
        <f>SUM(Данные!G2:G11)</f>
        <v>#N/A</v>
      </c>
    </row>
    <row r="39" spans="1:3" x14ac:dyDescent="0.25">
      <c r="A39" t="s">
        <v>68</v>
      </c>
      <c r="B39" s="1" t="s">
        <v>71</v>
      </c>
      <c r="C39">
        <f>SUM(1,"2",TRUE)</f>
        <v>4</v>
      </c>
    </row>
    <row r="40" spans="1:3" x14ac:dyDescent="0.25">
      <c r="A40" t="s">
        <v>68</v>
      </c>
      <c r="B40" s="1" t="s">
        <v>72</v>
      </c>
      <c r="C40">
        <f>SUM(Данные!C2:C11,100)</f>
        <v>11885.75</v>
      </c>
    </row>
    <row r="41" spans="1:3" x14ac:dyDescent="0.25">
      <c r="A41" t="s">
        <v>68</v>
      </c>
      <c r="B41" s="1" t="s">
        <v>73</v>
      </c>
      <c r="C41">
        <f>PRODUCT(Данные!E2:E6)</f>
        <v>210</v>
      </c>
    </row>
    <row r="42" spans="1:3" x14ac:dyDescent="0.25">
      <c r="A42" t="s">
        <v>68</v>
      </c>
      <c r="B42" s="1" t="s">
        <v>74</v>
      </c>
      <c r="C42">
        <f>AVERAGE(Данные!C2:C11)</f>
        <v>1178.575</v>
      </c>
    </row>
    <row r="43" spans="1:3" x14ac:dyDescent="0.25">
      <c r="A43" t="s">
        <v>68</v>
      </c>
      <c r="B43" s="1" t="s">
        <v>75</v>
      </c>
      <c r="C43" t="e">
        <f>AVERAGE(Данные!G2:G11)</f>
        <v>#N/A</v>
      </c>
    </row>
    <row r="44" spans="1:3" x14ac:dyDescent="0.25">
      <c r="A44" t="s">
        <v>68</v>
      </c>
      <c r="B44" s="1" t="s">
        <v>76</v>
      </c>
      <c r="C44">
        <f>MIN(Данные!C2:C11)</f>
        <v>-200</v>
      </c>
    </row>
    <row r="45" spans="1:3" x14ac:dyDescent="0.25">
      <c r="A45" t="s">
        <v>68</v>
      </c>
      <c r="B45" s="1" t="s">
        <v>77</v>
      </c>
      <c r="C45">
        <f>MAX(Данные!C2:C11)</f>
        <v>4200</v>
      </c>
    </row>
    <row r="46" spans="1:3" x14ac:dyDescent="0.25">
      <c r="A46" t="s">
        <v>68</v>
      </c>
      <c r="B46" s="1" t="s">
        <v>78</v>
      </c>
      <c r="C46">
        <f>MEDIAN(Данные!C2:C11)</f>
        <v>870</v>
      </c>
    </row>
    <row r="47" spans="1:3" x14ac:dyDescent="0.25">
      <c r="A47" t="s">
        <v>68</v>
      </c>
      <c r="B47" s="1" t="s">
        <v>79</v>
      </c>
      <c r="C47">
        <f>ABS(-3.5)</f>
        <v>3.5</v>
      </c>
    </row>
    <row r="48" spans="1:3" x14ac:dyDescent="0.25">
      <c r="A48" t="s">
        <v>68</v>
      </c>
      <c r="B48" s="1" t="s">
        <v>80</v>
      </c>
      <c r="C48">
        <f>SIGN(-0.1)</f>
        <v>-1</v>
      </c>
    </row>
    <row r="49" spans="1:3" x14ac:dyDescent="0.25">
      <c r="A49" t="s">
        <v>68</v>
      </c>
      <c r="B49" s="1" t="s">
        <v>81</v>
      </c>
      <c r="C49">
        <f>INT(-2.5)</f>
        <v>-3</v>
      </c>
    </row>
    <row r="50" spans="1:3" x14ac:dyDescent="0.25">
      <c r="A50" t="s">
        <v>68</v>
      </c>
      <c r="B50" s="1" t="s">
        <v>82</v>
      </c>
      <c r="C50">
        <f>INT(2.5)</f>
        <v>2</v>
      </c>
    </row>
    <row r="51" spans="1:3" x14ac:dyDescent="0.25">
      <c r="A51" t="s">
        <v>68</v>
      </c>
      <c r="B51" s="1" t="s">
        <v>83</v>
      </c>
      <c r="C51">
        <f>SQRT(16)</f>
        <v>4</v>
      </c>
    </row>
    <row r="52" spans="1:3" x14ac:dyDescent="0.25">
      <c r="A52" t="s">
        <v>68</v>
      </c>
      <c r="B52" s="1" t="s">
        <v>84</v>
      </c>
      <c r="C52" t="e">
        <f>SQRT(-1)</f>
        <v>#NUM!</v>
      </c>
    </row>
    <row r="53" spans="1:3" x14ac:dyDescent="0.25">
      <c r="A53" t="s">
        <v>68</v>
      </c>
      <c r="B53" s="1" t="s">
        <v>85</v>
      </c>
      <c r="C53">
        <f>PI()</f>
        <v>3.1415926535897931</v>
      </c>
    </row>
    <row r="54" spans="1:3" x14ac:dyDescent="0.25">
      <c r="A54" t="s">
        <v>68</v>
      </c>
      <c r="B54" s="1" t="s">
        <v>86</v>
      </c>
      <c r="C54">
        <f>POWER(2,10)</f>
        <v>1024</v>
      </c>
    </row>
    <row r="55" spans="1:3" x14ac:dyDescent="0.25">
      <c r="A55" t="s">
        <v>68</v>
      </c>
      <c r="B55" s="1" t="s">
        <v>87</v>
      </c>
      <c r="C55">
        <f>MOD(10,3)</f>
        <v>1</v>
      </c>
    </row>
    <row r="56" spans="1:3" x14ac:dyDescent="0.25">
      <c r="A56" t="s">
        <v>68</v>
      </c>
      <c r="B56" s="1" t="s">
        <v>88</v>
      </c>
      <c r="C56">
        <f>MOD(-10,3)</f>
        <v>2</v>
      </c>
    </row>
    <row r="57" spans="1:3" x14ac:dyDescent="0.25">
      <c r="A57" t="s">
        <v>68</v>
      </c>
      <c r="B57" s="1" t="s">
        <v>89</v>
      </c>
      <c r="C57">
        <f>MOD(10,-3)</f>
        <v>-2</v>
      </c>
    </row>
    <row r="58" spans="1:3" x14ac:dyDescent="0.25">
      <c r="A58" t="s">
        <v>68</v>
      </c>
      <c r="B58" s="1" t="s">
        <v>90</v>
      </c>
      <c r="C58" t="e">
        <f>MOD(5,0)</f>
        <v>#DIV/0!</v>
      </c>
    </row>
    <row r="59" spans="1:3" x14ac:dyDescent="0.25">
      <c r="A59" t="s">
        <v>68</v>
      </c>
      <c r="B59" s="1" t="s">
        <v>91</v>
      </c>
      <c r="C59">
        <f>ROUND(2.345,2)</f>
        <v>2.35</v>
      </c>
    </row>
    <row r="60" spans="1:3" x14ac:dyDescent="0.25">
      <c r="A60" t="s">
        <v>68</v>
      </c>
      <c r="B60" s="1" t="s">
        <v>92</v>
      </c>
      <c r="C60">
        <f>ROUND(2.5,0)</f>
        <v>3</v>
      </c>
    </row>
    <row r="61" spans="1:3" x14ac:dyDescent="0.25">
      <c r="A61" t="s">
        <v>68</v>
      </c>
      <c r="B61" s="1" t="s">
        <v>93</v>
      </c>
      <c r="C61">
        <f>ROUND(-2.5,0)</f>
        <v>-3</v>
      </c>
    </row>
    <row r="62" spans="1:3" x14ac:dyDescent="0.25">
      <c r="A62" t="s">
        <v>68</v>
      </c>
      <c r="B62" s="1" t="s">
        <v>94</v>
      </c>
      <c r="C62">
        <f>ROUND(1234.5678,-2)</f>
        <v>1200</v>
      </c>
    </row>
    <row r="63" spans="1:3" x14ac:dyDescent="0.25">
      <c r="A63" t="s">
        <v>68</v>
      </c>
      <c r="B63" s="1" t="s">
        <v>95</v>
      </c>
      <c r="C63">
        <f>ROUND(0.285,2)</f>
        <v>0.28999999999999998</v>
      </c>
    </row>
    <row r="64" spans="1:3" x14ac:dyDescent="0.25">
      <c r="A64" t="s">
        <v>68</v>
      </c>
      <c r="B64" s="1" t="s">
        <v>96</v>
      </c>
      <c r="C64">
        <f>ROUNDUP(2.341,2)</f>
        <v>2.3499999999999996</v>
      </c>
    </row>
    <row r="65" spans="1:3" x14ac:dyDescent="0.25">
      <c r="A65" t="s">
        <v>68</v>
      </c>
      <c r="B65" s="1" t="s">
        <v>97</v>
      </c>
      <c r="C65">
        <f>ROUNDUP(-2.341,1)</f>
        <v>-2.4</v>
      </c>
    </row>
    <row r="66" spans="1:3" x14ac:dyDescent="0.25">
      <c r="A66" t="s">
        <v>68</v>
      </c>
      <c r="B66" s="1" t="s">
        <v>98</v>
      </c>
      <c r="C66">
        <f>ROUNDDOWN(2.349,2)</f>
        <v>2.34</v>
      </c>
    </row>
    <row r="67" spans="1:3" x14ac:dyDescent="0.25">
      <c r="A67" t="s">
        <v>68</v>
      </c>
      <c r="B67" s="1" t="s">
        <v>99</v>
      </c>
      <c r="C67">
        <f>MROUND(10,3)</f>
        <v>9</v>
      </c>
    </row>
    <row r="68" spans="1:3" x14ac:dyDescent="0.25">
      <c r="A68" t="s">
        <v>68</v>
      </c>
      <c r="B68" s="1" t="s">
        <v>100</v>
      </c>
      <c r="C68">
        <f>MROUND(-10,-3)</f>
        <v>-9</v>
      </c>
    </row>
    <row r="69" spans="1:3" x14ac:dyDescent="0.25">
      <c r="A69" t="s">
        <v>68</v>
      </c>
      <c r="B69" s="1" t="s">
        <v>101</v>
      </c>
      <c r="C69">
        <f>CEILING(2.1,1)</f>
        <v>3</v>
      </c>
    </row>
    <row r="70" spans="1:3" x14ac:dyDescent="0.25">
      <c r="A70" t="s">
        <v>68</v>
      </c>
      <c r="B70" s="1" t="s">
        <v>102</v>
      </c>
      <c r="C70">
        <f>CEILING(-2.1,-1)</f>
        <v>-3</v>
      </c>
    </row>
    <row r="71" spans="1:3" x14ac:dyDescent="0.25">
      <c r="A71" t="s">
        <v>68</v>
      </c>
      <c r="B71" s="1" t="s">
        <v>103</v>
      </c>
      <c r="C71">
        <f>_xlfn.CEILING.MATH(-2.1)</f>
        <v>-2</v>
      </c>
    </row>
    <row r="72" spans="1:3" x14ac:dyDescent="0.25">
      <c r="A72" t="s">
        <v>68</v>
      </c>
      <c r="B72" s="1" t="s">
        <v>104</v>
      </c>
      <c r="C72">
        <f>FLOOR(2.9,1)</f>
        <v>2</v>
      </c>
    </row>
    <row r="73" spans="1:3" x14ac:dyDescent="0.25">
      <c r="A73" t="s">
        <v>68</v>
      </c>
      <c r="B73" s="1" t="s">
        <v>105</v>
      </c>
      <c r="C73">
        <f>_xlfn.FLOOR.MATH(-2.1)</f>
        <v>-3</v>
      </c>
    </row>
    <row r="74" spans="1:3" x14ac:dyDescent="0.25">
      <c r="A74" t="s">
        <v>68</v>
      </c>
      <c r="B74" s="1" t="s">
        <v>106</v>
      </c>
      <c r="C74">
        <f>TRUNC(-8.9)</f>
        <v>-8</v>
      </c>
    </row>
    <row r="75" spans="1:3" x14ac:dyDescent="0.25">
      <c r="A75" t="s">
        <v>68</v>
      </c>
      <c r="B75" s="1" t="s">
        <v>107</v>
      </c>
      <c r="C75">
        <f>TRUNC(3.14159,2)</f>
        <v>3.14</v>
      </c>
    </row>
    <row r="76" spans="1:3" x14ac:dyDescent="0.25">
      <c r="A76" t="s">
        <v>68</v>
      </c>
      <c r="B76" s="1" t="s">
        <v>108</v>
      </c>
      <c r="C76">
        <f>EVEN(3)</f>
        <v>4</v>
      </c>
    </row>
    <row r="77" spans="1:3" x14ac:dyDescent="0.25">
      <c r="A77" t="s">
        <v>68</v>
      </c>
      <c r="B77" s="1" t="s">
        <v>109</v>
      </c>
      <c r="C77">
        <f>ODD(4)</f>
        <v>5</v>
      </c>
    </row>
    <row r="78" spans="1:3" x14ac:dyDescent="0.25">
      <c r="A78" t="s">
        <v>68</v>
      </c>
      <c r="B78" s="1" t="s">
        <v>110</v>
      </c>
      <c r="C78">
        <f>EXP(1)</f>
        <v>2.7182818284590451</v>
      </c>
    </row>
    <row r="79" spans="1:3" x14ac:dyDescent="0.25">
      <c r="A79" t="s">
        <v>68</v>
      </c>
      <c r="B79" s="1" t="s">
        <v>111</v>
      </c>
      <c r="C79">
        <f>LN(10)</f>
        <v>2.3025850929940459</v>
      </c>
    </row>
    <row r="80" spans="1:3" x14ac:dyDescent="0.25">
      <c r="A80" t="s">
        <v>68</v>
      </c>
      <c r="B80" s="1" t="s">
        <v>112</v>
      </c>
      <c r="C80">
        <f>LOG(100)</f>
        <v>2</v>
      </c>
    </row>
    <row r="81" spans="1:3" x14ac:dyDescent="0.25">
      <c r="A81" t="s">
        <v>68</v>
      </c>
      <c r="B81" s="1" t="s">
        <v>113</v>
      </c>
      <c r="C81">
        <f>LOG(8,2)</f>
        <v>3</v>
      </c>
    </row>
    <row r="82" spans="1:3" x14ac:dyDescent="0.25">
      <c r="A82" t="s">
        <v>68</v>
      </c>
      <c r="B82" s="1" t="s">
        <v>114</v>
      </c>
      <c r="C82">
        <f>LOG10(1000)</f>
        <v>3</v>
      </c>
    </row>
    <row r="83" spans="1:3" x14ac:dyDescent="0.25">
      <c r="A83" t="s">
        <v>68</v>
      </c>
      <c r="B83" s="1" t="s">
        <v>115</v>
      </c>
      <c r="C83">
        <f>FACT(5)</f>
        <v>120</v>
      </c>
    </row>
    <row r="84" spans="1:3" x14ac:dyDescent="0.25">
      <c r="A84" t="s">
        <v>68</v>
      </c>
      <c r="B84" s="1" t="s">
        <v>116</v>
      </c>
      <c r="C84">
        <f>GCD(12,18)</f>
        <v>6</v>
      </c>
    </row>
    <row r="85" spans="1:3" x14ac:dyDescent="0.25">
      <c r="A85" t="s">
        <v>68</v>
      </c>
      <c r="B85" s="1" t="s">
        <v>117</v>
      </c>
      <c r="C85">
        <f>LCM(4,6)</f>
        <v>12</v>
      </c>
    </row>
    <row r="86" spans="1:3" x14ac:dyDescent="0.25">
      <c r="A86" t="s">
        <v>68</v>
      </c>
      <c r="B86" s="1" t="s">
        <v>118</v>
      </c>
      <c r="C86">
        <f>QUOTIENT(7,2)</f>
        <v>3</v>
      </c>
    </row>
    <row r="87" spans="1:3" x14ac:dyDescent="0.25">
      <c r="A87" t="s">
        <v>68</v>
      </c>
      <c r="B87" s="1" t="s">
        <v>119</v>
      </c>
      <c r="C87">
        <f>SIN(PI()/2)</f>
        <v>1</v>
      </c>
    </row>
    <row r="88" spans="1:3" x14ac:dyDescent="0.25">
      <c r="A88" t="s">
        <v>68</v>
      </c>
      <c r="B88" s="1" t="s">
        <v>120</v>
      </c>
      <c r="C88">
        <f>COS(0)</f>
        <v>1</v>
      </c>
    </row>
    <row r="89" spans="1:3" x14ac:dyDescent="0.25">
      <c r="A89" t="s">
        <v>68</v>
      </c>
      <c r="B89" s="1" t="s">
        <v>121</v>
      </c>
      <c r="C89">
        <f>TAN(PI()/4)</f>
        <v>0.99999999999999989</v>
      </c>
    </row>
    <row r="90" spans="1:3" x14ac:dyDescent="0.25">
      <c r="A90" t="s">
        <v>68</v>
      </c>
      <c r="B90" s="1" t="s">
        <v>122</v>
      </c>
      <c r="C90">
        <f>ATAN2(1,1)</f>
        <v>0.78539816339744828</v>
      </c>
    </row>
    <row r="91" spans="1:3" x14ac:dyDescent="0.25">
      <c r="A91" t="s">
        <v>68</v>
      </c>
      <c r="B91" s="1" t="s">
        <v>123</v>
      </c>
      <c r="C91">
        <f>DEGREES(PI())</f>
        <v>180</v>
      </c>
    </row>
    <row r="92" spans="1:3" x14ac:dyDescent="0.25">
      <c r="A92" t="s">
        <v>68</v>
      </c>
      <c r="B92" s="1" t="s">
        <v>124</v>
      </c>
      <c r="C92">
        <f>RADIANS(180)</f>
        <v>3.1415926535897931</v>
      </c>
    </row>
    <row r="93" spans="1:3" x14ac:dyDescent="0.25">
      <c r="A93" t="s">
        <v>68</v>
      </c>
      <c r="B93" s="1" t="s">
        <v>125</v>
      </c>
      <c r="C93" t="str">
        <f>ROMAN(1994)</f>
        <v>MCMXCIV</v>
      </c>
    </row>
    <row r="94" spans="1:3" x14ac:dyDescent="0.25">
      <c r="A94" t="s">
        <v>68</v>
      </c>
      <c r="B94" s="1" t="s">
        <v>126</v>
      </c>
      <c r="C94">
        <f>_xlfn.ARABIC("MCMXCIV")</f>
        <v>1994</v>
      </c>
    </row>
    <row r="95" spans="1:3" x14ac:dyDescent="0.25">
      <c r="A95" t="s">
        <v>68</v>
      </c>
      <c r="B95" s="1" t="s">
        <v>127</v>
      </c>
      <c r="C95">
        <f>SUMSQ(1,2,3)</f>
        <v>14</v>
      </c>
    </row>
    <row r="96" spans="1:3" x14ac:dyDescent="0.25">
      <c r="A96" t="s">
        <v>68</v>
      </c>
      <c r="B96" s="1" t="s">
        <v>128</v>
      </c>
      <c r="C96">
        <f>COMBIN(5,2)</f>
        <v>10</v>
      </c>
    </row>
    <row r="97" spans="1:3" x14ac:dyDescent="0.25">
      <c r="A97" t="s">
        <v>68</v>
      </c>
      <c r="B97" s="1" t="s">
        <v>129</v>
      </c>
      <c r="C97">
        <f>PERMUT(5,2)</f>
        <v>20</v>
      </c>
    </row>
    <row r="98" spans="1:3" x14ac:dyDescent="0.25">
      <c r="A98" t="s">
        <v>68</v>
      </c>
      <c r="B98" s="1" t="s">
        <v>130</v>
      </c>
      <c r="C98" t="str">
        <f>_xlfn.BASE(255,16)</f>
        <v>FF</v>
      </c>
    </row>
    <row r="99" spans="1:3" x14ac:dyDescent="0.25">
      <c r="A99" t="s">
        <v>68</v>
      </c>
      <c r="B99" s="1" t="s">
        <v>131</v>
      </c>
      <c r="C99">
        <f>_xlfn.DECIMAL("FF",16)</f>
        <v>255</v>
      </c>
    </row>
    <row r="100" spans="1:3" x14ac:dyDescent="0.25">
      <c r="A100" t="s">
        <v>68</v>
      </c>
      <c r="B100" s="1" t="s">
        <v>132</v>
      </c>
      <c r="C100">
        <f>SUM(Данные!C:C)</f>
        <v>11785.75</v>
      </c>
    </row>
    <row r="101" spans="1:3" x14ac:dyDescent="0.25">
      <c r="A101" t="s">
        <v>68</v>
      </c>
      <c r="B101" s="1" t="s">
        <v>133</v>
      </c>
      <c r="C101">
        <f>SUM(Данные!2:2)</f>
        <v>47545</v>
      </c>
    </row>
    <row r="102" spans="1:3" x14ac:dyDescent="0.25">
      <c r="A102" t="s">
        <v>68</v>
      </c>
      <c r="B102" s="1" t="s">
        <v>134</v>
      </c>
      <c r="C102">
        <f>SUM(Кв1:Кв3!A1)</f>
        <v>60</v>
      </c>
    </row>
    <row r="103" spans="1:3" x14ac:dyDescent="0.25">
      <c r="A103" t="s">
        <v>68</v>
      </c>
      <c r="B103" s="1" t="s">
        <v>135</v>
      </c>
      <c r="C103">
        <f>AVERAGE(Кв1:Кв3!B2)</f>
        <v>2</v>
      </c>
    </row>
    <row r="104" spans="1:3" x14ac:dyDescent="0.25">
      <c r="A104" t="s">
        <v>68</v>
      </c>
      <c r="B104" s="1" t="s">
        <v>136</v>
      </c>
      <c r="C104">
        <f>SUM(Суммы)</f>
        <v>11785.75</v>
      </c>
    </row>
    <row r="105" spans="1:3" x14ac:dyDescent="0.25">
      <c r="A105" t="s">
        <v>68</v>
      </c>
      <c r="B105" s="1" t="s">
        <v>137</v>
      </c>
      <c r="C105" cm="1">
        <f t="array" ref="C105">1000*Ставка</f>
        <v>200</v>
      </c>
    </row>
    <row r="106" spans="1:3" x14ac:dyDescent="0.25">
      <c r="A106" t="s">
        <v>68</v>
      </c>
      <c r="B106" s="1" t="s">
        <v>138</v>
      </c>
      <c r="C106" cm="1">
        <f t="array" ref="C106">SUM(Суммы)*Ставка</f>
        <v>2357.15</v>
      </c>
    </row>
    <row r="107" spans="1:3" x14ac:dyDescent="0.25">
      <c r="A107" t="s">
        <v>139</v>
      </c>
      <c r="B107" s="1" t="s">
        <v>140</v>
      </c>
      <c r="C107" t="str">
        <f>IF(Данные!C2&gt;1000,"много","мало")</f>
        <v>много</v>
      </c>
    </row>
    <row r="108" spans="1:3" x14ac:dyDescent="0.25">
      <c r="A108" t="s">
        <v>139</v>
      </c>
      <c r="B108" s="1" t="s">
        <v>141</v>
      </c>
      <c r="C108" t="b">
        <f>IF(0,1)</f>
        <v>0</v>
      </c>
    </row>
    <row r="109" spans="1:3" x14ac:dyDescent="0.25">
      <c r="A109" t="s">
        <v>139</v>
      </c>
      <c r="B109" s="1" t="s">
        <v>142</v>
      </c>
      <c r="C109" t="e">
        <f>IF("",1,2)</f>
        <v>#VALUE!</v>
      </c>
    </row>
    <row r="110" spans="1:3" x14ac:dyDescent="0.25">
      <c r="A110" t="s">
        <v>139</v>
      </c>
      <c r="B110" s="1" t="s">
        <v>143</v>
      </c>
      <c r="C110">
        <f>IF(Данные!G4,1,2)</f>
        <v>2</v>
      </c>
    </row>
    <row r="111" spans="1:3" x14ac:dyDescent="0.25">
      <c r="A111" t="s">
        <v>139</v>
      </c>
      <c r="B111" s="1" t="s">
        <v>144</v>
      </c>
      <c r="C111" t="str">
        <f>IFERROR(1/0,"ошибка")</f>
        <v>ошибка</v>
      </c>
    </row>
    <row r="112" spans="1:3" x14ac:dyDescent="0.25">
      <c r="A112" t="s">
        <v>139</v>
      </c>
      <c r="B112" s="1" t="s">
        <v>145</v>
      </c>
      <c r="C112" t="str">
        <f>IFERROR(Данные!G6,"нет")</f>
        <v>нет</v>
      </c>
    </row>
    <row r="113" spans="1:3" x14ac:dyDescent="0.25">
      <c r="A113" t="s">
        <v>139</v>
      </c>
      <c r="B113" s="1" t="s">
        <v>146</v>
      </c>
      <c r="C113" t="b">
        <f>AND(TRUE,1,"")</f>
        <v>1</v>
      </c>
    </row>
    <row r="114" spans="1:3" x14ac:dyDescent="0.25">
      <c r="A114" t="s">
        <v>139</v>
      </c>
      <c r="B114" s="1" t="s">
        <v>147</v>
      </c>
      <c r="C114" t="b">
        <f>AND(Данные!F2:F11)</f>
        <v>0</v>
      </c>
    </row>
    <row r="115" spans="1:3" x14ac:dyDescent="0.25">
      <c r="A115" t="s">
        <v>139</v>
      </c>
      <c r="B115" s="1" t="s">
        <v>148</v>
      </c>
      <c r="C115" t="b">
        <f>OR(Данные!F2:F11)</f>
        <v>1</v>
      </c>
    </row>
    <row r="116" spans="1:3" x14ac:dyDescent="0.25">
      <c r="A116" t="s">
        <v>139</v>
      </c>
      <c r="B116" s="1" t="s">
        <v>149</v>
      </c>
      <c r="C116" t="b">
        <f>NOT(0)</f>
        <v>1</v>
      </c>
    </row>
    <row r="117" spans="1:3" x14ac:dyDescent="0.25">
      <c r="A117" t="s">
        <v>139</v>
      </c>
      <c r="B117" s="1" t="s">
        <v>150</v>
      </c>
      <c r="C117" t="b">
        <f>_xlfn.XOR(TRUE,TRUE,TRUE)</f>
        <v>1</v>
      </c>
    </row>
    <row r="118" spans="1:3" x14ac:dyDescent="0.25">
      <c r="A118" t="s">
        <v>139</v>
      </c>
      <c r="B118" s="1" t="s">
        <v>151</v>
      </c>
      <c r="C118" t="str" cm="1">
        <f t="array" ref="C118">_xlfn.IFS(Данные!C3&gt;1000,"A",Данные!C3&gt;100,"B",TRUE,"C")</f>
        <v>B</v>
      </c>
    </row>
    <row r="119" spans="1:3" x14ac:dyDescent="0.25">
      <c r="A119" t="s">
        <v>139</v>
      </c>
      <c r="B119" s="1" t="s">
        <v>152</v>
      </c>
      <c r="C119" t="str" cm="1">
        <f t="array" ref="C119">_xlfn.SWITCH(2,1,"один",2,"два","иначе")</f>
        <v>два</v>
      </c>
    </row>
    <row r="120" spans="1:3" x14ac:dyDescent="0.25">
      <c r="A120" t="s">
        <v>139</v>
      </c>
      <c r="B120" s="1" t="s">
        <v>153</v>
      </c>
      <c r="C120" t="str" cm="1">
        <f t="array" ref="C120">_xlfn.SWITCH(9,1,"один","иначе")</f>
        <v>иначе</v>
      </c>
    </row>
    <row r="121" spans="1:3" x14ac:dyDescent="0.25">
      <c r="A121" t="s">
        <v>139</v>
      </c>
      <c r="B121" s="1" t="s">
        <v>154</v>
      </c>
      <c r="C121" t="str">
        <f>_xlfn.IFNA(NA(),"нет")</f>
        <v>нет</v>
      </c>
    </row>
    <row r="122" spans="1:3" x14ac:dyDescent="0.25">
      <c r="A122" t="s">
        <v>139</v>
      </c>
      <c r="B122" s="1" t="s">
        <v>155</v>
      </c>
      <c r="C122" t="e">
        <f>_xlfn.IFNA(1/0,"нет")</f>
        <v>#DIV/0!</v>
      </c>
    </row>
    <row r="123" spans="1:3" x14ac:dyDescent="0.25">
      <c r="A123" t="s">
        <v>139</v>
      </c>
      <c r="B123" s="1" t="s">
        <v>156</v>
      </c>
      <c r="C123" t="b">
        <f>ISNA(Данные!G6)</f>
        <v>1</v>
      </c>
    </row>
    <row r="124" spans="1:3" x14ac:dyDescent="0.25">
      <c r="A124" t="s">
        <v>139</v>
      </c>
      <c r="B124" s="1" t="s">
        <v>157</v>
      </c>
      <c r="C124" t="b">
        <f>ISLOGICAL(Данные!F2)</f>
        <v>1</v>
      </c>
    </row>
    <row r="125" spans="1:3" x14ac:dyDescent="0.25">
      <c r="A125" t="s">
        <v>139</v>
      </c>
      <c r="B125" s="1" t="s">
        <v>158</v>
      </c>
      <c r="C125" t="b">
        <f>ISREF(Данные!A1)</f>
        <v>1</v>
      </c>
    </row>
    <row r="126" spans="1:3" x14ac:dyDescent="0.25">
      <c r="A126" t="s">
        <v>139</v>
      </c>
      <c r="B126" s="1" t="s">
        <v>159</v>
      </c>
      <c r="C126" t="b">
        <f>ISEVEN(4)</f>
        <v>1</v>
      </c>
    </row>
    <row r="127" spans="1:3" x14ac:dyDescent="0.25">
      <c r="A127" t="s">
        <v>139</v>
      </c>
      <c r="B127" s="1" t="s">
        <v>160</v>
      </c>
      <c r="C127" t="b">
        <f>ISODD(4)</f>
        <v>0</v>
      </c>
    </row>
    <row r="128" spans="1:3" x14ac:dyDescent="0.25">
      <c r="A128" t="s">
        <v>139</v>
      </c>
      <c r="B128" s="1" t="s">
        <v>161</v>
      </c>
      <c r="C128" t="b">
        <f>ISBLANK(Данные!G4)</f>
        <v>1</v>
      </c>
    </row>
    <row r="129" spans="1:3" x14ac:dyDescent="0.25">
      <c r="A129" t="s">
        <v>139</v>
      </c>
      <c r="B129" s="1" t="s">
        <v>162</v>
      </c>
      <c r="C129" t="b">
        <f>ISBLANK(Данные!G8)</f>
        <v>0</v>
      </c>
    </row>
    <row r="130" spans="1:3" x14ac:dyDescent="0.25">
      <c r="A130" t="s">
        <v>139</v>
      </c>
      <c r="B130" s="1" t="s">
        <v>163</v>
      </c>
      <c r="C130" t="b">
        <f>ISNUMBER(Данные!G3)</f>
        <v>0</v>
      </c>
    </row>
    <row r="131" spans="1:3" x14ac:dyDescent="0.25">
      <c r="A131" t="s">
        <v>139</v>
      </c>
      <c r="B131" s="1" t="s">
        <v>164</v>
      </c>
      <c r="C131" t="b">
        <f>ISTEXT(Данные!G8)</f>
        <v>1</v>
      </c>
    </row>
    <row r="132" spans="1:3" x14ac:dyDescent="0.25">
      <c r="A132" t="s">
        <v>139</v>
      </c>
      <c r="B132" s="1" t="s">
        <v>165</v>
      </c>
      <c r="C132" t="b">
        <f>ISERROR(Данные!G6)</f>
        <v>1</v>
      </c>
    </row>
    <row r="133" spans="1:3" x14ac:dyDescent="0.25">
      <c r="A133" t="s">
        <v>139</v>
      </c>
      <c r="B133" s="1" t="s">
        <v>166</v>
      </c>
      <c r="C133" t="b">
        <f>ISERR(Данные!G6)</f>
        <v>0</v>
      </c>
    </row>
    <row r="134" spans="1:3" x14ac:dyDescent="0.25">
      <c r="A134" t="s">
        <v>139</v>
      </c>
      <c r="B134" s="1" t="s">
        <v>167</v>
      </c>
      <c r="C134" t="b">
        <f>ISNONTEXT(Данные!G4)</f>
        <v>1</v>
      </c>
    </row>
    <row r="135" spans="1:3" x14ac:dyDescent="0.25">
      <c r="A135" t="s">
        <v>139</v>
      </c>
      <c r="B135" s="1" t="s">
        <v>168</v>
      </c>
      <c r="C135" t="b">
        <f>_xlfn.ISFORMULA(Данные!G6)</f>
        <v>1</v>
      </c>
    </row>
    <row r="136" spans="1:3" x14ac:dyDescent="0.25">
      <c r="A136" t="s">
        <v>139</v>
      </c>
      <c r="B136" s="1" t="s">
        <v>169</v>
      </c>
      <c r="C136">
        <f>N(Данные!G5)</f>
        <v>1</v>
      </c>
    </row>
    <row r="137" spans="1:3" x14ac:dyDescent="0.25">
      <c r="A137" t="s">
        <v>139</v>
      </c>
      <c r="B137" s="1" t="s">
        <v>170</v>
      </c>
      <c r="C137">
        <f>TYPE(Данные!G3)</f>
        <v>2</v>
      </c>
    </row>
    <row r="138" spans="1:3" x14ac:dyDescent="0.25">
      <c r="A138" t="s">
        <v>139</v>
      </c>
      <c r="B138" s="1" t="s">
        <v>171</v>
      </c>
      <c r="C138">
        <f>TYPE(Данные!G6)</f>
        <v>16</v>
      </c>
    </row>
    <row r="139" spans="1:3" x14ac:dyDescent="0.25">
      <c r="A139" t="s">
        <v>172</v>
      </c>
      <c r="B139" s="1" t="s">
        <v>173</v>
      </c>
      <c r="C139">
        <f>SUMIF(Данные!B2:B11,"Продажи",Данные!C2:C11)</f>
        <v>3255.25</v>
      </c>
    </row>
    <row r="140" spans="1:3" x14ac:dyDescent="0.25">
      <c r="A140" t="s">
        <v>172</v>
      </c>
      <c r="B140" s="1" t="s">
        <v>174</v>
      </c>
      <c r="C140">
        <f>SUMIF(Данные!C2:C11,"&gt;1000")</f>
        <v>10000</v>
      </c>
    </row>
    <row r="141" spans="1:3" x14ac:dyDescent="0.25">
      <c r="A141" t="s">
        <v>172</v>
      </c>
      <c r="B141" s="1" t="s">
        <v>175</v>
      </c>
      <c r="C141">
        <f>SUMIF(Данные!C2:C11,"&lt;&gt;0")</f>
        <v>11785.75</v>
      </c>
    </row>
    <row r="142" spans="1:3" x14ac:dyDescent="0.25">
      <c r="A142" t="s">
        <v>172</v>
      </c>
      <c r="B142" s="1" t="s">
        <v>176</v>
      </c>
      <c r="C142">
        <f>SUMIF(Данные!A2:A11,"И*",Данные!E2:E11)</f>
        <v>11</v>
      </c>
    </row>
    <row r="143" spans="1:3" x14ac:dyDescent="0.25">
      <c r="A143" t="s">
        <v>172</v>
      </c>
      <c r="B143" s="1" t="s">
        <v>177</v>
      </c>
      <c r="C143">
        <f>SUMIF(Данные!A2:A11,"?????",Данные!E2:E11)</f>
        <v>10</v>
      </c>
    </row>
    <row r="144" spans="1:3" x14ac:dyDescent="0.25">
      <c r="A144" t="s">
        <v>172</v>
      </c>
      <c r="B144" s="1" t="s">
        <v>178</v>
      </c>
      <c r="C144">
        <f>COUNTIF(Данные!B2:B11,"склад")</f>
        <v>4</v>
      </c>
    </row>
    <row r="145" spans="1:3" x14ac:dyDescent="0.25">
      <c r="A145" t="s">
        <v>172</v>
      </c>
      <c r="B145" s="1" t="s">
        <v>179</v>
      </c>
      <c r="C145">
        <f>COUNTIF(Данные!C2:C11,"&gt;="&amp;1000)</f>
        <v>4</v>
      </c>
    </row>
    <row r="146" spans="1:3" x14ac:dyDescent="0.25">
      <c r="A146" t="s">
        <v>172</v>
      </c>
      <c r="B146" s="1" t="s">
        <v>180</v>
      </c>
      <c r="C146">
        <f>COUNTIF(Данные!G2:G11,"")</f>
        <v>2</v>
      </c>
    </row>
    <row r="147" spans="1:3" x14ac:dyDescent="0.25">
      <c r="A147" t="s">
        <v>172</v>
      </c>
      <c r="B147" s="1" t="s">
        <v>181</v>
      </c>
      <c r="C147">
        <f>COUNTIF(Данные!G2:G11,"&lt;&gt;")</f>
        <v>9</v>
      </c>
    </row>
    <row r="148" spans="1:3" x14ac:dyDescent="0.25">
      <c r="A148" t="s">
        <v>172</v>
      </c>
      <c r="B148" s="1" t="s">
        <v>182</v>
      </c>
      <c r="C148">
        <f>COUNTIF(Данные!G2:G11,12)</f>
        <v>1</v>
      </c>
    </row>
    <row r="149" spans="1:3" x14ac:dyDescent="0.25">
      <c r="A149" t="s">
        <v>172</v>
      </c>
      <c r="B149" s="1" t="s">
        <v>183</v>
      </c>
      <c r="C149">
        <f>COUNTIF(Данные!F2:F11,TRUE)</f>
        <v>5</v>
      </c>
    </row>
    <row r="150" spans="1:3" x14ac:dyDescent="0.25">
      <c r="A150" t="s">
        <v>172</v>
      </c>
      <c r="B150" s="1" t="s">
        <v>184</v>
      </c>
      <c r="C150">
        <f>AVERAGEIF(Данные!B2:B11,"Склад",Данные!C2:C11)</f>
        <v>307.625</v>
      </c>
    </row>
    <row r="151" spans="1:3" x14ac:dyDescent="0.25">
      <c r="A151" t="s">
        <v>172</v>
      </c>
      <c r="B151" s="1" t="s">
        <v>185</v>
      </c>
      <c r="C151">
        <f>SUMIFS(Данные!C2:C11,Данные!B2:B11,"Продажи",Данные!E2:E11,"&gt;3")</f>
        <v>1755.25</v>
      </c>
    </row>
    <row r="152" spans="1:3" x14ac:dyDescent="0.25">
      <c r="A152" t="s">
        <v>172</v>
      </c>
      <c r="B152" s="1" t="s">
        <v>186</v>
      </c>
      <c r="C152">
        <f>COUNTIFS(Данные!B2:B11,"Склад",Данные!C2:C11,"&gt;0")</f>
        <v>2</v>
      </c>
    </row>
    <row r="153" spans="1:3" x14ac:dyDescent="0.25">
      <c r="A153" t="s">
        <v>172</v>
      </c>
      <c r="B153" s="1" t="s">
        <v>187</v>
      </c>
      <c r="C153">
        <f>AVERAGEIFS(Данные!C2:C11,Данные!B2:B11,"Продажи")</f>
        <v>813.8125</v>
      </c>
    </row>
    <row r="154" spans="1:3" x14ac:dyDescent="0.25">
      <c r="A154" t="s">
        <v>172</v>
      </c>
      <c r="B154" s="1" t="s">
        <v>188</v>
      </c>
      <c r="C154">
        <f>_xlfn.MAXIFS(Данные!C2:C11,Данные!B2:B11,"Склад")</f>
        <v>1200</v>
      </c>
    </row>
    <row r="155" spans="1:3" x14ac:dyDescent="0.25">
      <c r="A155" t="s">
        <v>172</v>
      </c>
      <c r="B155" s="1" t="s">
        <v>189</v>
      </c>
      <c r="C155">
        <f>_xlfn.MINIFS(Данные!C2:C11,Данные!B2:B11,"Склад")</f>
        <v>-200</v>
      </c>
    </row>
    <row r="156" spans="1:3" x14ac:dyDescent="0.25">
      <c r="A156" t="s">
        <v>172</v>
      </c>
      <c r="B156" s="1" t="s">
        <v>190</v>
      </c>
      <c r="C156">
        <f>SUMPRODUCT(Данные!C2:C11,Данные!E2:E11)</f>
        <v>29372.5</v>
      </c>
    </row>
    <row r="157" spans="1:3" x14ac:dyDescent="0.25">
      <c r="A157" t="s">
        <v>172</v>
      </c>
      <c r="B157" s="1" t="s">
        <v>191</v>
      </c>
      <c r="C157" cm="1">
        <f t="array" ref="C157">SUMPRODUCT((Данные!B2:B11="Склад")*Данные!C2:C11)</f>
        <v>1230.5</v>
      </c>
    </row>
    <row r="158" spans="1:3" x14ac:dyDescent="0.25">
      <c r="A158" t="s">
        <v>172</v>
      </c>
      <c r="B158" s="1" t="s">
        <v>192</v>
      </c>
      <c r="C158">
        <f>SUBTOTAL(9,Данные!C2:C11)</f>
        <v>11785.75</v>
      </c>
    </row>
    <row r="159" spans="1:3" x14ac:dyDescent="0.25">
      <c r="A159" t="s">
        <v>172</v>
      </c>
      <c r="B159" s="1" t="s">
        <v>193</v>
      </c>
      <c r="C159">
        <f>SUBTOTAL(101,Данные!C2:C11)</f>
        <v>1178.575</v>
      </c>
    </row>
    <row r="160" spans="1:3" x14ac:dyDescent="0.25">
      <c r="A160" t="s">
        <v>172</v>
      </c>
      <c r="B160" s="1" t="s">
        <v>194</v>
      </c>
      <c r="C160">
        <f>_xlfn.AGGREGATE(9,6,Данные!G2:G11)</f>
        <v>6.5</v>
      </c>
    </row>
    <row r="161" spans="1:3" x14ac:dyDescent="0.25">
      <c r="A161" t="s">
        <v>172</v>
      </c>
      <c r="B161" s="1" t="s">
        <v>195</v>
      </c>
      <c r="C161">
        <f>COUNT(Данные!G2:G11)</f>
        <v>4</v>
      </c>
    </row>
    <row r="162" spans="1:3" x14ac:dyDescent="0.25">
      <c r="A162" t="s">
        <v>172</v>
      </c>
      <c r="B162" s="1" t="s">
        <v>196</v>
      </c>
      <c r="C162">
        <f>COUNTA(Данные!G2:G11)</f>
        <v>9</v>
      </c>
    </row>
    <row r="163" spans="1:3" x14ac:dyDescent="0.25">
      <c r="A163" t="s">
        <v>172</v>
      </c>
      <c r="B163" s="1" t="s">
        <v>197</v>
      </c>
      <c r="C163">
        <f>COUNTBLANK(Данные!G2:G11)</f>
        <v>2</v>
      </c>
    </row>
    <row r="164" spans="1:3" x14ac:dyDescent="0.25">
      <c r="A164" t="s">
        <v>198</v>
      </c>
      <c r="B164" s="1" t="s">
        <v>199</v>
      </c>
      <c r="C164">
        <f>VLOOKUP("Мария",Данные!A2:C11,3,FALSE)</f>
        <v>980</v>
      </c>
    </row>
    <row r="165" spans="1:3" x14ac:dyDescent="0.25">
      <c r="A165" t="s">
        <v>198</v>
      </c>
      <c r="B165" s="1" t="s">
        <v>200</v>
      </c>
      <c r="C165">
        <f>VLOOKUP("мария",Данные!A2:C11,3,0)</f>
        <v>980</v>
      </c>
    </row>
    <row r="166" spans="1:3" x14ac:dyDescent="0.25">
      <c r="A166" t="s">
        <v>198</v>
      </c>
      <c r="B166" s="1" t="s">
        <v>201</v>
      </c>
      <c r="C166" t="e">
        <f>VLOOKUP("Нет",Данные!A2:C11,3,FALSE)</f>
        <v>#N/A</v>
      </c>
    </row>
    <row r="167" spans="1:3" x14ac:dyDescent="0.25">
      <c r="A167" t="s">
        <v>198</v>
      </c>
      <c r="B167" s="1" t="s">
        <v>202</v>
      </c>
      <c r="C167" t="str">
        <f>VLOOKUP("Ма*",Данные!A2:C11,2,FALSE)</f>
        <v>Продажи</v>
      </c>
    </row>
    <row r="168" spans="1:3" x14ac:dyDescent="0.25">
      <c r="A168" t="s">
        <v>198</v>
      </c>
      <c r="B168" s="1" t="s">
        <v>203</v>
      </c>
      <c r="C168" t="str">
        <f>VLOOKUP(2500,{0,"мало";1000,"средне";3000,"много"},2)</f>
        <v>средне</v>
      </c>
    </row>
    <row r="169" spans="1:3" x14ac:dyDescent="0.25">
      <c r="A169" t="s">
        <v>198</v>
      </c>
      <c r="B169" s="1" t="s">
        <v>204</v>
      </c>
      <c r="C169">
        <f>HLOOKUP("Сумма",Данные!A1:H11,3,FALSE)</f>
        <v>230.5</v>
      </c>
    </row>
    <row r="170" spans="1:3" x14ac:dyDescent="0.25">
      <c r="A170" t="s">
        <v>198</v>
      </c>
      <c r="B170" s="1" t="s">
        <v>205</v>
      </c>
      <c r="C170" t="str">
        <f>LOOKUP(5,{1,4,7},{"a","b","c"})</f>
        <v>b</v>
      </c>
    </row>
    <row r="171" spans="1:3" x14ac:dyDescent="0.25">
      <c r="A171" t="s">
        <v>198</v>
      </c>
      <c r="B171" s="1" t="s">
        <v>206</v>
      </c>
      <c r="C171">
        <f>MATCH("Олег",Данные!A2:A11,0)</f>
        <v>5</v>
      </c>
    </row>
    <row r="172" spans="1:3" x14ac:dyDescent="0.25">
      <c r="A172" t="s">
        <v>198</v>
      </c>
      <c r="B172" s="1" t="s">
        <v>207</v>
      </c>
      <c r="C172">
        <f>MATCH(100,{10,50,200},1)</f>
        <v>2</v>
      </c>
    </row>
    <row r="173" spans="1:3" x14ac:dyDescent="0.25">
      <c r="A173" t="s">
        <v>198</v>
      </c>
      <c r="B173" s="1" t="s">
        <v>208</v>
      </c>
      <c r="C173">
        <f>MATCH(100,{200,50,10},-1)</f>
        <v>1</v>
      </c>
    </row>
    <row r="174" spans="1:3" x14ac:dyDescent="0.25">
      <c r="A174" t="s">
        <v>198</v>
      </c>
      <c r="B174" s="1" t="s">
        <v>209</v>
      </c>
      <c r="C174">
        <f>INDEX(Данные!A2:C11,4,3)</f>
        <v>4200</v>
      </c>
    </row>
    <row r="175" spans="1:3" x14ac:dyDescent="0.25">
      <c r="A175" t="s">
        <v>198</v>
      </c>
      <c r="B175" s="1" t="s">
        <v>210</v>
      </c>
      <c r="C175" t="str">
        <f>INDEX(Данные!A2:A11,MATCH("Анна",Данные!A2:A11,0))</f>
        <v>Анна</v>
      </c>
    </row>
    <row r="176" spans="1:3" x14ac:dyDescent="0.25">
      <c r="A176" t="s">
        <v>198</v>
      </c>
      <c r="B176" s="1" t="s">
        <v>211</v>
      </c>
      <c r="C176">
        <f>INDEX({1,2;3,4},2,1)</f>
        <v>3</v>
      </c>
    </row>
    <row r="177" spans="1:3" x14ac:dyDescent="0.25">
      <c r="A177" t="s">
        <v>198</v>
      </c>
      <c r="B177" s="1" t="s">
        <v>212</v>
      </c>
      <c r="C177">
        <f>_xlfn.XLOOKUP("Олег",Данные!A2:A11,Данные!C2:C11)</f>
        <v>0</v>
      </c>
    </row>
    <row r="178" spans="1:3" x14ac:dyDescent="0.25">
      <c r="A178" t="s">
        <v>198</v>
      </c>
      <c r="B178" s="1" t="s">
        <v>213</v>
      </c>
      <c r="C178" t="str">
        <f>_xlfn.XLOOKUP("Нет",Данные!A2:A11,Данные!C2:C11,"не найдено")</f>
        <v>не найдено</v>
      </c>
    </row>
    <row r="179" spans="1:3" x14ac:dyDescent="0.25">
      <c r="A179" t="s">
        <v>198</v>
      </c>
      <c r="B179" s="1" t="s">
        <v>214</v>
      </c>
      <c r="C179">
        <f>_xlfn.XLOOKUP("Иван",Данные!A2:A11,Данные!C2:C11,,0,-1)</f>
        <v>15.25</v>
      </c>
    </row>
    <row r="180" spans="1:3" x14ac:dyDescent="0.25">
      <c r="A180" t="s">
        <v>198</v>
      </c>
      <c r="B180" s="1" t="s">
        <v>215</v>
      </c>
      <c r="C180">
        <f>_xlfn.XMATCH("Анна",Данные!A2:A11)</f>
        <v>4</v>
      </c>
    </row>
    <row r="181" spans="1:3" x14ac:dyDescent="0.25">
      <c r="A181" t="s">
        <v>198</v>
      </c>
      <c r="B181" s="1" t="s">
        <v>216</v>
      </c>
      <c r="C181" t="str">
        <f>CHOOSE(2,"а","б","в")</f>
        <v>б</v>
      </c>
    </row>
    <row r="182" spans="1:3" x14ac:dyDescent="0.25">
      <c r="A182" t="s">
        <v>198</v>
      </c>
      <c r="B182" s="1" t="s">
        <v>217</v>
      </c>
      <c r="C182">
        <f>ROW(Данные!C5)</f>
        <v>5</v>
      </c>
    </row>
    <row r="183" spans="1:3" x14ac:dyDescent="0.25">
      <c r="A183" t="s">
        <v>198</v>
      </c>
      <c r="B183" s="1" t="s">
        <v>218</v>
      </c>
      <c r="C183">
        <f>COLUMN(Данные!C5)</f>
        <v>3</v>
      </c>
    </row>
    <row r="184" spans="1:3" x14ac:dyDescent="0.25">
      <c r="A184" t="s">
        <v>198</v>
      </c>
      <c r="B184" s="1" t="s">
        <v>219</v>
      </c>
      <c r="C184">
        <f>ROWS(Данные!A2:C11)</f>
        <v>10</v>
      </c>
    </row>
    <row r="185" spans="1:3" x14ac:dyDescent="0.25">
      <c r="A185" t="s">
        <v>198</v>
      </c>
      <c r="B185" s="1" t="s">
        <v>220</v>
      </c>
      <c r="C185">
        <f>COLUMNS(Данные!A2:C11)</f>
        <v>3</v>
      </c>
    </row>
    <row r="186" spans="1:3" x14ac:dyDescent="0.25">
      <c r="A186" t="s">
        <v>198</v>
      </c>
      <c r="B186" s="1" t="s">
        <v>221</v>
      </c>
      <c r="C186" t="str">
        <f>ADDRESS(2,3)</f>
        <v>$C$2</v>
      </c>
    </row>
    <row r="187" spans="1:3" x14ac:dyDescent="0.25">
      <c r="A187" t="s">
        <v>198</v>
      </c>
      <c r="B187" s="1" t="s">
        <v>222</v>
      </c>
      <c r="C187" t="str">
        <f>ADDRESS(2,3,4)</f>
        <v>C2</v>
      </c>
    </row>
    <row r="188" spans="1:3" x14ac:dyDescent="0.25">
      <c r="A188" t="s">
        <v>198</v>
      </c>
      <c r="B188" s="1" t="s">
        <v>223</v>
      </c>
      <c r="C188">
        <f ca="1">SUM(OFFSET(Данные!C2,1,0,3,1))</f>
        <v>5410.5</v>
      </c>
    </row>
    <row r="189" spans="1:3" x14ac:dyDescent="0.25">
      <c r="A189" t="s">
        <v>198</v>
      </c>
      <c r="B189" s="1" t="s">
        <v>224</v>
      </c>
      <c r="C189" cm="1">
        <f t="array" aca="1" ref="C189" ca="1">INDIRECT("Данные!C3")</f>
        <v>230.5</v>
      </c>
    </row>
    <row r="190" spans="1:3" x14ac:dyDescent="0.25">
      <c r="A190" t="s">
        <v>198</v>
      </c>
      <c r="B190" s="1" t="s">
        <v>225</v>
      </c>
      <c r="C190">
        <f ca="1">SUM(INDIRECT("Данные!C2:C4"))</f>
        <v>2710.5</v>
      </c>
    </row>
    <row r="191" spans="1:3" x14ac:dyDescent="0.25">
      <c r="A191" t="s">
        <v>198</v>
      </c>
      <c r="B191" s="1" t="s">
        <v>226</v>
      </c>
      <c r="C191">
        <f>RANK(980,Данные!C2:C11)</f>
        <v>5</v>
      </c>
    </row>
    <row r="192" spans="1:3" x14ac:dyDescent="0.25">
      <c r="A192" t="s">
        <v>198</v>
      </c>
      <c r="B192" s="1" t="s">
        <v>227</v>
      </c>
      <c r="C192">
        <f>_xlfn.RANK.EQ(980,Данные!C2:C11,1)</f>
        <v>6</v>
      </c>
    </row>
    <row r="193" spans="1:4" x14ac:dyDescent="0.25">
      <c r="A193" t="s">
        <v>198</v>
      </c>
      <c r="B193" s="1" t="s">
        <v>228</v>
      </c>
      <c r="D193" t="s">
        <v>229</v>
      </c>
    </row>
    <row r="194" spans="1:4" x14ac:dyDescent="0.25">
      <c r="A194" t="s">
        <v>230</v>
      </c>
      <c r="B194" s="1" t="s">
        <v>231</v>
      </c>
      <c r="C194" cm="1">
        <f t="array" ref="C194">SUM(_xlfn._xlws.FILTER(Данные!C2:C11,Данные!B2:B11="Склад"))</f>
        <v>1230.5</v>
      </c>
    </row>
    <row r="195" spans="1:4" x14ac:dyDescent="0.25">
      <c r="A195" t="s">
        <v>230</v>
      </c>
      <c r="B195" s="1" t="s">
        <v>232</v>
      </c>
      <c r="C195">
        <f>ROWS(_xlfn.UNIQUE(Данные!A2:A11))</f>
        <v>6</v>
      </c>
    </row>
    <row r="196" spans="1:4" x14ac:dyDescent="0.25">
      <c r="A196" t="s">
        <v>230</v>
      </c>
      <c r="B196" s="1" t="s">
        <v>233</v>
      </c>
      <c r="C196" cm="1">
        <f t="array" ref="C196">INDEX(_xlfn._xlws.SORT(Данные!C2:C11),1)</f>
        <v>-200</v>
      </c>
    </row>
    <row r="197" spans="1:4" x14ac:dyDescent="0.25">
      <c r="A197" t="s">
        <v>230</v>
      </c>
      <c r="B197" s="1" t="s">
        <v>234</v>
      </c>
      <c r="C197" cm="1">
        <f t="array" ref="C197">INDEX(_xlfn._xlws.SORT(Данные!C2:C11,1,-1),1)</f>
        <v>4200</v>
      </c>
    </row>
    <row r="198" spans="1:4" x14ac:dyDescent="0.25">
      <c r="A198" t="s">
        <v>230</v>
      </c>
      <c r="B198" s="1" t="s">
        <v>235</v>
      </c>
      <c r="C198" t="str" cm="1">
        <f t="array" ref="C198">INDEX(_xlfn.SORTBY(Данные!A2:A11,Данные!C2:C11,-1),1)</f>
        <v>Анна</v>
      </c>
    </row>
    <row r="199" spans="1:4" x14ac:dyDescent="0.25">
      <c r="A199" t="s">
        <v>230</v>
      </c>
      <c r="B199" s="1" t="s">
        <v>236</v>
      </c>
      <c r="C199">
        <f>SUM(_xlfn.SEQUENCE(10))</f>
        <v>55</v>
      </c>
    </row>
    <row r="200" spans="1:4" x14ac:dyDescent="0.25">
      <c r="A200" t="s">
        <v>230</v>
      </c>
      <c r="B200" s="1" t="s">
        <v>237</v>
      </c>
      <c r="C200">
        <f>INDEX(_xlfn.SEQUENCE(3,3,10,5),3,2)</f>
        <v>45</v>
      </c>
    </row>
    <row r="201" spans="1:4" x14ac:dyDescent="0.25">
      <c r="A201" t="s">
        <v>230</v>
      </c>
      <c r="B201" s="1" t="s">
        <v>238</v>
      </c>
      <c r="C201" t="str" cm="1">
        <f t="array" ref="C201">INDEX(TRANSPOSE(Данные!A2:A4),1,3)</f>
        <v>Мария</v>
      </c>
    </row>
    <row r="202" spans="1:4" x14ac:dyDescent="0.25">
      <c r="A202" t="s">
        <v>230</v>
      </c>
      <c r="B202" s="1" t="s">
        <v>239</v>
      </c>
      <c r="C202" cm="1">
        <f t="array" ref="C202">SUM({1,2,3}*{4,5,6})</f>
        <v>32</v>
      </c>
    </row>
    <row r="203" spans="1:4" x14ac:dyDescent="0.25">
      <c r="A203" t="s">
        <v>230</v>
      </c>
      <c r="B203" s="1" t="s">
        <v>240</v>
      </c>
      <c r="C203" cm="1">
        <f t="array" ref="C203">SUM(Данные!C2:C11*(Данные!E2:E11&gt;3))</f>
        <v>1555.25</v>
      </c>
    </row>
    <row r="204" spans="1:4" x14ac:dyDescent="0.25">
      <c r="A204" t="s">
        <v>230</v>
      </c>
      <c r="B204" s="1" t="s">
        <v>241</v>
      </c>
      <c r="C204" cm="1">
        <f t="array" ref="C204">MAX(IF(Данные!B2:B11="Продажи",Данные!C2:C11))</f>
        <v>1500</v>
      </c>
    </row>
    <row r="205" spans="1:4" x14ac:dyDescent="0.25">
      <c r="A205" t="s">
        <v>230</v>
      </c>
      <c r="B205" s="1" t="s">
        <v>242</v>
      </c>
      <c r="C205" t="str">
        <f>_xlfn.TEXTJOIN(";",TRUE,_xlfn.UNIQUE(Данные!B2:B11))</f>
        <v>Продажи;Склад;Бухгалтерия</v>
      </c>
    </row>
    <row r="206" spans="1:4" x14ac:dyDescent="0.25">
      <c r="A206" t="s">
        <v>7</v>
      </c>
      <c r="B206" s="1" t="s">
        <v>243</v>
      </c>
      <c r="C206">
        <f>LEN(Данные!H2)</f>
        <v>15</v>
      </c>
    </row>
    <row r="207" spans="1:4" x14ac:dyDescent="0.25">
      <c r="A207" t="s">
        <v>7</v>
      </c>
      <c r="B207" s="1" t="s">
        <v>244</v>
      </c>
      <c r="C207" t="str">
        <f>TRIM(Данные!H2)</f>
        <v>Привет мир</v>
      </c>
    </row>
    <row r="208" spans="1:4" x14ac:dyDescent="0.25">
      <c r="A208" t="s">
        <v>7</v>
      </c>
      <c r="B208" s="1" t="s">
        <v>245</v>
      </c>
      <c r="C208" t="str">
        <f>UPPER(Данные!H3)</f>
        <v>ABC</v>
      </c>
    </row>
    <row r="209" spans="1:3" x14ac:dyDescent="0.25">
      <c r="A209" t="s">
        <v>7</v>
      </c>
      <c r="B209" s="1" t="s">
        <v>246</v>
      </c>
      <c r="C209" t="str">
        <f>LOWER("ПрИвЕт")</f>
        <v>привет</v>
      </c>
    </row>
    <row r="210" spans="1:3" x14ac:dyDescent="0.25">
      <c r="A210" t="s">
        <v>7</v>
      </c>
      <c r="B210" s="1" t="s">
        <v>247</v>
      </c>
      <c r="C210" t="str">
        <f>PROPER("иванов иван")</f>
        <v>Иванов Иван</v>
      </c>
    </row>
    <row r="211" spans="1:3" x14ac:dyDescent="0.25">
      <c r="A211" t="s">
        <v>7</v>
      </c>
      <c r="B211" s="1" t="s">
        <v>248</v>
      </c>
      <c r="C211" t="str">
        <f>LEFT(Данные!H5,6)</f>
        <v>Иванов</v>
      </c>
    </row>
    <row r="212" spans="1:3" x14ac:dyDescent="0.25">
      <c r="A212" t="s">
        <v>7</v>
      </c>
      <c r="B212" s="1" t="s">
        <v>249</v>
      </c>
      <c r="C212" t="str">
        <f>RIGHT(Данные!H4,3)</f>
        <v>123</v>
      </c>
    </row>
    <row r="213" spans="1:3" x14ac:dyDescent="0.25">
      <c r="A213" t="s">
        <v>7</v>
      </c>
      <c r="B213" s="1" t="s">
        <v>250</v>
      </c>
      <c r="C213" t="str">
        <f>MID(Данные!H5,8,4)</f>
        <v>Иван</v>
      </c>
    </row>
    <row r="214" spans="1:3" x14ac:dyDescent="0.25">
      <c r="A214" t="s">
        <v>7</v>
      </c>
      <c r="B214" s="1" t="s">
        <v>251</v>
      </c>
      <c r="C214" t="str">
        <f>LEFT("abc")</f>
        <v>a</v>
      </c>
    </row>
    <row r="215" spans="1:3" x14ac:dyDescent="0.25">
      <c r="A215" t="s">
        <v>7</v>
      </c>
      <c r="B215" s="1" t="s">
        <v>252</v>
      </c>
      <c r="C215">
        <f>FIND("-",Данные!H4)</f>
        <v>4</v>
      </c>
    </row>
    <row r="216" spans="1:3" x14ac:dyDescent="0.25">
      <c r="A216" t="s">
        <v>7</v>
      </c>
      <c r="B216" s="1" t="s">
        <v>253</v>
      </c>
      <c r="C216" t="e">
        <f>FIND("z","abc")</f>
        <v>#VALUE!</v>
      </c>
    </row>
    <row r="217" spans="1:3" x14ac:dyDescent="0.25">
      <c r="A217" t="s">
        <v>7</v>
      </c>
      <c r="B217" s="1" t="s">
        <v>254</v>
      </c>
      <c r="C217">
        <f>SEARCH("иван",Данные!H5)</f>
        <v>1</v>
      </c>
    </row>
    <row r="218" spans="1:3" x14ac:dyDescent="0.25">
      <c r="A218" t="s">
        <v>7</v>
      </c>
      <c r="B218" s="1" t="s">
        <v>255</v>
      </c>
      <c r="C218">
        <f>SEARCH("?ва",Данные!H5)</f>
        <v>1</v>
      </c>
    </row>
    <row r="219" spans="1:3" x14ac:dyDescent="0.25">
      <c r="A219" t="s">
        <v>7</v>
      </c>
      <c r="B219" s="1" t="s">
        <v>256</v>
      </c>
      <c r="C219" t="str">
        <f>SUBSTITUTE(Данные!H6,",",";")</f>
        <v>a;b;c</v>
      </c>
    </row>
    <row r="220" spans="1:3" x14ac:dyDescent="0.25">
      <c r="A220" t="s">
        <v>7</v>
      </c>
      <c r="B220" s="1" t="s">
        <v>257</v>
      </c>
      <c r="C220" t="str">
        <f>SUBSTITUTE("a-a-a","a","b",2)</f>
        <v>a-b-a</v>
      </c>
    </row>
    <row r="221" spans="1:3" x14ac:dyDescent="0.25">
      <c r="A221" t="s">
        <v>7</v>
      </c>
      <c r="B221" s="1" t="s">
        <v>258</v>
      </c>
      <c r="C221" t="str">
        <f>REPLACE("abcdef",2,3,"X")</f>
        <v>aXef</v>
      </c>
    </row>
    <row r="222" spans="1:3" x14ac:dyDescent="0.25">
      <c r="A222" t="s">
        <v>7</v>
      </c>
      <c r="B222" s="1" t="s">
        <v>259</v>
      </c>
      <c r="C222" t="str">
        <f>REPT("ab",3)</f>
        <v>ababab</v>
      </c>
    </row>
    <row r="223" spans="1:3" x14ac:dyDescent="0.25">
      <c r="A223" t="s">
        <v>7</v>
      </c>
      <c r="B223" s="1" t="s">
        <v>260</v>
      </c>
      <c r="C223" t="str">
        <f>CONCATENATE("a",1,TRUE)</f>
        <v>a1ИСТИНА</v>
      </c>
    </row>
    <row r="224" spans="1:3" x14ac:dyDescent="0.25">
      <c r="A224" t="s">
        <v>7</v>
      </c>
      <c r="B224" s="1" t="s">
        <v>261</v>
      </c>
      <c r="C224" t="str">
        <f>_xlfn.CONCAT(Данные!A2:A4)</f>
        <v>ИванПётрМария</v>
      </c>
    </row>
    <row r="225" spans="1:3" x14ac:dyDescent="0.25">
      <c r="A225" t="s">
        <v>7</v>
      </c>
      <c r="B225" s="1" t="s">
        <v>262</v>
      </c>
      <c r="C225" t="str">
        <f>_xlfn.TEXTJOIN(", ",TRUE,Данные!A2:A5)</f>
        <v>Иван, Пётр, Мария, Анна</v>
      </c>
    </row>
    <row r="226" spans="1:3" x14ac:dyDescent="0.25">
      <c r="A226" t="s">
        <v>7</v>
      </c>
      <c r="B226" s="1" t="s">
        <v>263</v>
      </c>
      <c r="C226" t="str">
        <f>_xlfn.TEXTJOIN("-",FALSE,"a","","b")</f>
        <v>a--b</v>
      </c>
    </row>
    <row r="227" spans="1:3" x14ac:dyDescent="0.25">
      <c r="A227" t="s">
        <v>7</v>
      </c>
      <c r="B227" s="1" t="s">
        <v>264</v>
      </c>
      <c r="C227" t="b">
        <f>EXACT("abc","ABC")</f>
        <v>0</v>
      </c>
    </row>
    <row r="228" spans="1:3" x14ac:dyDescent="0.25">
      <c r="A228" t="s">
        <v>7</v>
      </c>
      <c r="B228" s="1" t="s">
        <v>265</v>
      </c>
      <c r="C228" t="str">
        <f>CHAR(65)</f>
        <v>A</v>
      </c>
    </row>
    <row r="229" spans="1:3" x14ac:dyDescent="0.25">
      <c r="A229" t="s">
        <v>7</v>
      </c>
      <c r="B229" s="1" t="s">
        <v>266</v>
      </c>
      <c r="C229">
        <f>CODE("A")</f>
        <v>65</v>
      </c>
    </row>
    <row r="230" spans="1:3" x14ac:dyDescent="0.25">
      <c r="A230" t="s">
        <v>7</v>
      </c>
      <c r="B230" s="1" t="s">
        <v>267</v>
      </c>
      <c r="C230" t="str">
        <f>_xlfn.UNICHAR(1046)</f>
        <v>Ж</v>
      </c>
    </row>
    <row r="231" spans="1:3" x14ac:dyDescent="0.25">
      <c r="A231" t="s">
        <v>7</v>
      </c>
      <c r="B231" s="1" t="s">
        <v>268</v>
      </c>
      <c r="C231">
        <f>_xlfn.UNICODE("Ж")</f>
        <v>1046</v>
      </c>
    </row>
    <row r="232" spans="1:3" x14ac:dyDescent="0.25">
      <c r="A232" t="s">
        <v>7</v>
      </c>
      <c r="B232" s="1" t="s">
        <v>269</v>
      </c>
      <c r="C232" t="str">
        <f>CLEAN("a"&amp;CHAR(10)&amp;"b")</f>
        <v>ab</v>
      </c>
    </row>
    <row r="233" spans="1:3" x14ac:dyDescent="0.25">
      <c r="A233" t="s">
        <v>7</v>
      </c>
      <c r="B233" s="1" t="s">
        <v>270</v>
      </c>
      <c r="C233">
        <f>VALUE("1 234,5")</f>
        <v>1234.5</v>
      </c>
    </row>
    <row r="234" spans="1:3" x14ac:dyDescent="0.25">
      <c r="A234" t="s">
        <v>7</v>
      </c>
      <c r="B234" s="1" t="s">
        <v>271</v>
      </c>
      <c r="C234">
        <f>VALUE("12%")</f>
        <v>0.12</v>
      </c>
    </row>
    <row r="235" spans="1:3" x14ac:dyDescent="0.25">
      <c r="A235" t="s">
        <v>7</v>
      </c>
      <c r="B235" s="1" t="s">
        <v>272</v>
      </c>
      <c r="C235" t="e">
        <f>VALUE("abc")</f>
        <v>#VALUE!</v>
      </c>
    </row>
    <row r="236" spans="1:3" x14ac:dyDescent="0.25">
      <c r="A236" t="s">
        <v>7</v>
      </c>
      <c r="B236" s="1" t="s">
        <v>273</v>
      </c>
      <c r="C236">
        <f>_xlfn.NUMBERVALUE("1.234,5",",",".")</f>
        <v>1234.5</v>
      </c>
    </row>
    <row r="237" spans="1:3" x14ac:dyDescent="0.25">
      <c r="A237" t="s">
        <v>7</v>
      </c>
      <c r="B237" s="1" t="s">
        <v>274</v>
      </c>
      <c r="C237" t="str">
        <f>T(Данные!H3)</f>
        <v>abc</v>
      </c>
    </row>
    <row r="238" spans="1:3" x14ac:dyDescent="0.25">
      <c r="A238" t="s">
        <v>7</v>
      </c>
      <c r="B238" s="1" t="s">
        <v>275</v>
      </c>
      <c r="C238" t="str">
        <f>T(5)</f>
        <v/>
      </c>
    </row>
    <row r="239" spans="1:3" x14ac:dyDescent="0.25">
      <c r="A239" t="s">
        <v>7</v>
      </c>
      <c r="B239" s="1" t="s">
        <v>276</v>
      </c>
      <c r="C239" t="e">
        <f>TEXT(1234.567,"0.00")</f>
        <v>#VALUE!</v>
      </c>
    </row>
    <row r="240" spans="1:3" x14ac:dyDescent="0.25">
      <c r="A240" t="s">
        <v>7</v>
      </c>
      <c r="B240" s="1" t="s">
        <v>277</v>
      </c>
      <c r="C240" t="str">
        <f>TEXT(1234.567,"# ##0,00")</f>
        <v>1 234,57</v>
      </c>
    </row>
    <row r="241" spans="1:3" x14ac:dyDescent="0.25">
      <c r="A241" t="s">
        <v>7</v>
      </c>
      <c r="B241" s="1" t="s">
        <v>278</v>
      </c>
      <c r="C241" t="str">
        <f>TEXT(0.256,"0%")</f>
        <v>26%</v>
      </c>
    </row>
    <row r="242" spans="1:3" x14ac:dyDescent="0.25">
      <c r="A242" t="s">
        <v>7</v>
      </c>
      <c r="B242" s="1" t="s">
        <v>279</v>
      </c>
      <c r="C242" t="str">
        <f>TEXT(46301,"ДД.ММ.ГГГГ")</f>
        <v>06.10.2026</v>
      </c>
    </row>
    <row r="243" spans="1:3" x14ac:dyDescent="0.25">
      <c r="A243" t="s">
        <v>7</v>
      </c>
      <c r="B243" s="1" t="s">
        <v>280</v>
      </c>
      <c r="C243" t="str">
        <f>TEXT(46301,"dd.mm.yyyy")</f>
        <v>dd.mm.yyyy</v>
      </c>
    </row>
    <row r="244" spans="1:3" x14ac:dyDescent="0.25">
      <c r="A244" t="s">
        <v>7</v>
      </c>
      <c r="B244" s="1" t="s">
        <v>281</v>
      </c>
      <c r="C244" t="str">
        <f>TEXT(46301,"ДДДД")</f>
        <v>вторник</v>
      </c>
    </row>
    <row r="245" spans="1:3" x14ac:dyDescent="0.25">
      <c r="A245" t="s">
        <v>7</v>
      </c>
      <c r="B245" s="1" t="s">
        <v>282</v>
      </c>
      <c r="C245" t="str">
        <f>TEXT(46301,"ММММ ГГГГ")</f>
        <v>Октябрь 2026</v>
      </c>
    </row>
    <row r="246" spans="1:3" x14ac:dyDescent="0.25">
      <c r="A246" t="s">
        <v>7</v>
      </c>
      <c r="B246" s="1" t="s">
        <v>283</v>
      </c>
      <c r="C246" t="str">
        <f>FIXED(1234.567,1)</f>
        <v>1 234,6</v>
      </c>
    </row>
    <row r="247" spans="1:3" x14ac:dyDescent="0.25">
      <c r="A247" t="s">
        <v>7</v>
      </c>
      <c r="B247" s="1" t="s">
        <v>284</v>
      </c>
      <c r="C247" t="str">
        <f>DOLLAR(1234.5)</f>
        <v>1 234,50 ₽</v>
      </c>
    </row>
    <row r="248" spans="1:3" x14ac:dyDescent="0.25">
      <c r="A248" t="s">
        <v>7</v>
      </c>
      <c r="B248" s="1" t="s">
        <v>285</v>
      </c>
      <c r="C248" t="e" cm="1">
        <f t="array" aca="1" ref="C248" ca="1">TEXTBEFORE(Данные!H8,":")</f>
        <v>#NAME?</v>
      </c>
    </row>
    <row r="249" spans="1:3" x14ac:dyDescent="0.25">
      <c r="A249" t="s">
        <v>7</v>
      </c>
      <c r="B249" s="1" t="s">
        <v>286</v>
      </c>
      <c r="C249" t="e" cm="1">
        <f t="array" aca="1" ref="C249" ca="1">TEXTAFTER(Данные!H8,": ")</f>
        <v>#NAME?</v>
      </c>
    </row>
    <row r="250" spans="1:3" x14ac:dyDescent="0.25">
      <c r="A250" t="s">
        <v>7</v>
      </c>
      <c r="B250" s="1" t="s">
        <v>287</v>
      </c>
      <c r="C250" t="e" cm="1">
        <f t="array" aca="1" ref="C250" ca="1">INDEX(TEXTSPLIT(Данные!H6,","),2)</f>
        <v>#NAME?</v>
      </c>
    </row>
    <row r="251" spans="1:3" x14ac:dyDescent="0.25">
      <c r="A251" t="s">
        <v>7</v>
      </c>
      <c r="B251" s="1" t="s">
        <v>288</v>
      </c>
      <c r="C251">
        <f>LEN(Данные!H5)-LEN(SUBSTITUTE(Данные!H5," ",""))+1</f>
        <v>3</v>
      </c>
    </row>
    <row r="252" spans="1:3" x14ac:dyDescent="0.25">
      <c r="A252" t="s">
        <v>7</v>
      </c>
      <c r="B252" s="1" t="s">
        <v>289</v>
      </c>
      <c r="C252" t="str">
        <f>Данные!A2&amp;" ("&amp;Данные!B2&amp;")"</f>
        <v>Иван (Продажи)</v>
      </c>
    </row>
    <row r="253" spans="1:3" x14ac:dyDescent="0.25">
      <c r="A253" t="s">
        <v>290</v>
      </c>
      <c r="B253" s="1" t="s">
        <v>291</v>
      </c>
      <c r="C253" s="3">
        <f>DATE(2026,10,10)</f>
        <v>46305</v>
      </c>
    </row>
    <row r="254" spans="1:3" x14ac:dyDescent="0.25">
      <c r="A254" t="s">
        <v>290</v>
      </c>
      <c r="B254" s="1" t="s">
        <v>292</v>
      </c>
      <c r="C254" s="3">
        <f>DATE(2026,13,1)</f>
        <v>46388</v>
      </c>
    </row>
    <row r="255" spans="1:3" x14ac:dyDescent="0.25">
      <c r="A255" t="s">
        <v>290</v>
      </c>
      <c r="B255" s="1" t="s">
        <v>293</v>
      </c>
      <c r="C255" s="3">
        <f>DATE(2026,1,0)</f>
        <v>46022</v>
      </c>
    </row>
    <row r="256" spans="1:3" x14ac:dyDescent="0.25">
      <c r="A256" t="s">
        <v>290</v>
      </c>
      <c r="B256" s="1" t="s">
        <v>294</v>
      </c>
      <c r="C256" s="3">
        <f>DATE(26,1,1)</f>
        <v>9498</v>
      </c>
    </row>
    <row r="257" spans="1:3" x14ac:dyDescent="0.25">
      <c r="A257" t="s">
        <v>290</v>
      </c>
      <c r="B257" s="1" t="s">
        <v>295</v>
      </c>
      <c r="C257">
        <f>YEAR(Данные!D2)</f>
        <v>2026</v>
      </c>
    </row>
    <row r="258" spans="1:3" x14ac:dyDescent="0.25">
      <c r="A258" t="s">
        <v>290</v>
      </c>
      <c r="B258" s="1" t="s">
        <v>296</v>
      </c>
      <c r="C258">
        <f>MONTH(Данные!D3)</f>
        <v>2</v>
      </c>
    </row>
    <row r="259" spans="1:3" x14ac:dyDescent="0.25">
      <c r="A259" t="s">
        <v>290</v>
      </c>
      <c r="B259" s="1" t="s">
        <v>297</v>
      </c>
      <c r="C259">
        <f>DAY(Данные!D6)</f>
        <v>29</v>
      </c>
    </row>
    <row r="260" spans="1:3" x14ac:dyDescent="0.25">
      <c r="A260" t="s">
        <v>290</v>
      </c>
      <c r="B260" s="1" t="s">
        <v>298</v>
      </c>
      <c r="C260" s="3">
        <f>DATE(1900,2,29)</f>
        <v>60</v>
      </c>
    </row>
    <row r="261" spans="1:3" x14ac:dyDescent="0.25">
      <c r="A261" t="s">
        <v>290</v>
      </c>
      <c r="B261" s="1" t="s">
        <v>299</v>
      </c>
      <c r="C261" s="3">
        <f>DATE(1900,3,1)</f>
        <v>61</v>
      </c>
    </row>
    <row r="262" spans="1:3" x14ac:dyDescent="0.25">
      <c r="A262" t="s">
        <v>290</v>
      </c>
      <c r="B262" s="1" t="s">
        <v>300</v>
      </c>
      <c r="C262">
        <f>WEEKDAY(Данные!D2)</f>
        <v>5</v>
      </c>
    </row>
    <row r="263" spans="1:3" x14ac:dyDescent="0.25">
      <c r="A263" t="s">
        <v>290</v>
      </c>
      <c r="B263" s="1" t="s">
        <v>301</v>
      </c>
      <c r="C263">
        <f>WEEKDAY(Данные!D2,2)</f>
        <v>4</v>
      </c>
    </row>
    <row r="264" spans="1:3" x14ac:dyDescent="0.25">
      <c r="A264" t="s">
        <v>290</v>
      </c>
      <c r="B264" s="1" t="s">
        <v>302</v>
      </c>
      <c r="C264">
        <f>WEEKNUM(Данные!D2,2)</f>
        <v>3</v>
      </c>
    </row>
    <row r="265" spans="1:3" x14ac:dyDescent="0.25">
      <c r="A265" t="s">
        <v>290</v>
      </c>
      <c r="B265" s="1" t="s">
        <v>303</v>
      </c>
      <c r="C265">
        <f>_xlfn.ISOWEEKNUM(Данные!D2)</f>
        <v>3</v>
      </c>
    </row>
    <row r="266" spans="1:3" x14ac:dyDescent="0.25">
      <c r="A266" t="s">
        <v>290</v>
      </c>
      <c r="B266" s="1" t="s">
        <v>304</v>
      </c>
      <c r="C266">
        <f>EDATE(Данные!D2,1)</f>
        <v>46068</v>
      </c>
    </row>
    <row r="267" spans="1:3" x14ac:dyDescent="0.25">
      <c r="A267" t="s">
        <v>290</v>
      </c>
      <c r="B267" s="1" t="s">
        <v>305</v>
      </c>
      <c r="C267">
        <f>EDATE(DATE(2026,1,31),1)</f>
        <v>46081</v>
      </c>
    </row>
    <row r="268" spans="1:3" x14ac:dyDescent="0.25">
      <c r="A268" t="s">
        <v>290</v>
      </c>
      <c r="B268" s="1" t="s">
        <v>306</v>
      </c>
      <c r="C268">
        <f>EOMONTH(Данные!D2,0)</f>
        <v>46053</v>
      </c>
    </row>
    <row r="269" spans="1:3" x14ac:dyDescent="0.25">
      <c r="A269" t="s">
        <v>290</v>
      </c>
      <c r="B269" s="1" t="s">
        <v>307</v>
      </c>
      <c r="C269">
        <f>EOMONTH(Данные!D2,-1)</f>
        <v>46022</v>
      </c>
    </row>
    <row r="270" spans="1:3" x14ac:dyDescent="0.25">
      <c r="A270" t="s">
        <v>290</v>
      </c>
      <c r="B270" s="1" t="s">
        <v>308</v>
      </c>
      <c r="C270">
        <f>WORKDAY(Данные!D2,10)</f>
        <v>46051</v>
      </c>
    </row>
    <row r="271" spans="1:3" x14ac:dyDescent="0.25">
      <c r="A271" t="s">
        <v>290</v>
      </c>
      <c r="B271" s="1" t="s">
        <v>309</v>
      </c>
      <c r="C271">
        <f>WORKDAY.INTL(Данные!D2,10,11)</f>
        <v>46049</v>
      </c>
    </row>
    <row r="272" spans="1:3" x14ac:dyDescent="0.25">
      <c r="A272" t="s">
        <v>290</v>
      </c>
      <c r="B272" s="1" t="s">
        <v>310</v>
      </c>
      <c r="C272">
        <f>NETWORKDAYS(Данные!D2,Данные!D3)</f>
        <v>32</v>
      </c>
    </row>
    <row r="273" spans="1:3" x14ac:dyDescent="0.25">
      <c r="A273" t="s">
        <v>290</v>
      </c>
      <c r="B273" s="1" t="s">
        <v>311</v>
      </c>
      <c r="C273">
        <f>NETWORKDAYS.INTL(Данные!D2,Данные!D3,1)</f>
        <v>32</v>
      </c>
    </row>
    <row r="274" spans="1:3" x14ac:dyDescent="0.25">
      <c r="A274" t="s">
        <v>290</v>
      </c>
      <c r="B274" s="1" t="s">
        <v>312</v>
      </c>
      <c r="C274">
        <f>DATEDIF(Данные!D6,Данные!D2,"y")</f>
        <v>1</v>
      </c>
    </row>
    <row r="275" spans="1:3" x14ac:dyDescent="0.25">
      <c r="A275" t="s">
        <v>290</v>
      </c>
      <c r="B275" s="1" t="s">
        <v>313</v>
      </c>
      <c r="C275">
        <f>DATEDIF(Данные!D6,Данные!D2,"m")</f>
        <v>22</v>
      </c>
    </row>
    <row r="276" spans="1:3" x14ac:dyDescent="0.25">
      <c r="A276" t="s">
        <v>290</v>
      </c>
      <c r="B276" s="1" t="s">
        <v>314</v>
      </c>
      <c r="C276">
        <f>DATEDIF(Данные!D6,Данные!D2,"md")</f>
        <v>17</v>
      </c>
    </row>
    <row r="277" spans="1:3" x14ac:dyDescent="0.25">
      <c r="A277" t="s">
        <v>290</v>
      </c>
      <c r="B277" s="1" t="s">
        <v>315</v>
      </c>
      <c r="C277">
        <f>_xlfn.DAYS(Данные!D3,Данные!D2)</f>
        <v>44</v>
      </c>
    </row>
    <row r="278" spans="1:3" x14ac:dyDescent="0.25">
      <c r="A278" t="s">
        <v>290</v>
      </c>
      <c r="B278" s="1" t="s">
        <v>316</v>
      </c>
      <c r="C278">
        <f>Данные!D3-Данные!D2</f>
        <v>44</v>
      </c>
    </row>
    <row r="279" spans="1:3" x14ac:dyDescent="0.25">
      <c r="A279" t="s">
        <v>290</v>
      </c>
      <c r="B279" s="1" t="s">
        <v>317</v>
      </c>
      <c r="C279">
        <f>YEARFRAC(Данные!D2,Данные!D3)</f>
        <v>0.11944444444444445</v>
      </c>
    </row>
    <row r="280" spans="1:3" x14ac:dyDescent="0.25">
      <c r="A280" t="s">
        <v>290</v>
      </c>
      <c r="B280" s="1" t="s">
        <v>318</v>
      </c>
      <c r="C280">
        <f>YEARFRAC(Данные!D2,Данные!D3,1)</f>
        <v>0.12054794520547946</v>
      </c>
    </row>
    <row r="281" spans="1:3" x14ac:dyDescent="0.25">
      <c r="A281" t="s">
        <v>290</v>
      </c>
      <c r="B281" s="1" t="s">
        <v>319</v>
      </c>
      <c r="C281">
        <f>DAYS360(Данные!D2,Данные!D3)</f>
        <v>43</v>
      </c>
    </row>
    <row r="282" spans="1:3" x14ac:dyDescent="0.25">
      <c r="A282" t="s">
        <v>290</v>
      </c>
      <c r="B282" s="1" t="s">
        <v>320</v>
      </c>
      <c r="C282" s="4">
        <f>TIME(14,30,0)</f>
        <v>0.60416666666666663</v>
      </c>
    </row>
    <row r="283" spans="1:3" x14ac:dyDescent="0.25">
      <c r="A283" t="s">
        <v>290</v>
      </c>
      <c r="B283" s="1" t="s">
        <v>321</v>
      </c>
      <c r="C283">
        <f>HOUR(0.75)</f>
        <v>18</v>
      </c>
    </row>
    <row r="284" spans="1:3" x14ac:dyDescent="0.25">
      <c r="A284" t="s">
        <v>290</v>
      </c>
      <c r="B284" s="1" t="s">
        <v>322</v>
      </c>
      <c r="C284">
        <f>MINUTE(TIME(14,30,15))</f>
        <v>30</v>
      </c>
    </row>
    <row r="285" spans="1:3" x14ac:dyDescent="0.25">
      <c r="A285" t="s">
        <v>290</v>
      </c>
      <c r="B285" s="1" t="s">
        <v>323</v>
      </c>
      <c r="C285">
        <f>SECOND(TIME(14,30,15))</f>
        <v>15</v>
      </c>
    </row>
    <row r="286" spans="1:3" x14ac:dyDescent="0.25">
      <c r="A286" t="s">
        <v>290</v>
      </c>
      <c r="B286" s="1" t="s">
        <v>324</v>
      </c>
      <c r="C286">
        <f>DATEVALUE("15.01.2026")</f>
        <v>46037</v>
      </c>
    </row>
    <row r="287" spans="1:3" x14ac:dyDescent="0.25">
      <c r="A287" t="s">
        <v>290</v>
      </c>
      <c r="B287" s="1" t="s">
        <v>325</v>
      </c>
      <c r="C287">
        <f>TIMEVALUE("14:30")</f>
        <v>0.60416666666666663</v>
      </c>
    </row>
    <row r="288" spans="1:3" x14ac:dyDescent="0.25">
      <c r="A288" t="s">
        <v>290</v>
      </c>
      <c r="B288" s="1" t="s">
        <v>326</v>
      </c>
      <c r="C288">
        <f>Данные!D2+30</f>
        <v>46067</v>
      </c>
    </row>
    <row r="289" spans="1:3" x14ac:dyDescent="0.25">
      <c r="A289" t="s">
        <v>327</v>
      </c>
      <c r="B289" s="1" t="s">
        <v>328</v>
      </c>
      <c r="C289" t="e">
        <f>AVERAGEA(Данные!G2:G11)</f>
        <v>#N/A</v>
      </c>
    </row>
    <row r="290" spans="1:3" x14ac:dyDescent="0.25">
      <c r="A290" t="s">
        <v>327</v>
      </c>
      <c r="B290" s="1" t="s">
        <v>329</v>
      </c>
      <c r="C290">
        <f>MAXA(Данные!F2:F11)</f>
        <v>1</v>
      </c>
    </row>
    <row r="291" spans="1:3" x14ac:dyDescent="0.25">
      <c r="A291" t="s">
        <v>327</v>
      </c>
      <c r="B291" s="1" t="s">
        <v>330</v>
      </c>
      <c r="C291">
        <f>MINA(Данные!F2:F11)</f>
        <v>0</v>
      </c>
    </row>
    <row r="292" spans="1:3" x14ac:dyDescent="0.25">
      <c r="A292" t="s">
        <v>327</v>
      </c>
      <c r="B292" s="1" t="s">
        <v>331</v>
      </c>
      <c r="C292">
        <f>LARGE(Данные!C2:C11,2)</f>
        <v>3100</v>
      </c>
    </row>
    <row r="293" spans="1:3" x14ac:dyDescent="0.25">
      <c r="A293" t="s">
        <v>327</v>
      </c>
      <c r="B293" s="1" t="s">
        <v>332</v>
      </c>
      <c r="C293">
        <f>SMALL(Данные!C2:C11,3)</f>
        <v>15.25</v>
      </c>
    </row>
    <row r="294" spans="1:3" x14ac:dyDescent="0.25">
      <c r="A294" t="s">
        <v>327</v>
      </c>
      <c r="B294" s="1" t="s">
        <v>333</v>
      </c>
      <c r="C294">
        <f>MODE(Данные!E2:E11)</f>
        <v>1</v>
      </c>
    </row>
    <row r="295" spans="1:3" x14ac:dyDescent="0.25">
      <c r="A295" t="s">
        <v>327</v>
      </c>
      <c r="B295" s="1" t="s">
        <v>334</v>
      </c>
      <c r="C295">
        <f>_xlfn.MODE.SNGL(Данные!E2:E11)</f>
        <v>1</v>
      </c>
    </row>
    <row r="296" spans="1:3" x14ac:dyDescent="0.25">
      <c r="A296" t="s">
        <v>327</v>
      </c>
      <c r="B296" s="1" t="s">
        <v>335</v>
      </c>
      <c r="C296">
        <f>STDEV(Данные!C2:C11)</f>
        <v>1440.7163536954647</v>
      </c>
    </row>
    <row r="297" spans="1:3" x14ac:dyDescent="0.25">
      <c r="A297" t="s">
        <v>327</v>
      </c>
      <c r="B297" s="1" t="s">
        <v>336</v>
      </c>
      <c r="C297">
        <f>_xlfn.STDEV.S(Данные!C2:C11)</f>
        <v>1440.7163536954647</v>
      </c>
    </row>
    <row r="298" spans="1:3" x14ac:dyDescent="0.25">
      <c r="A298" t="s">
        <v>327</v>
      </c>
      <c r="B298" s="1" t="s">
        <v>337</v>
      </c>
      <c r="C298">
        <f>_xlfn.STDEV.P(Данные!C2:C11)</f>
        <v>1366.783541979124</v>
      </c>
    </row>
    <row r="299" spans="1:3" x14ac:dyDescent="0.25">
      <c r="A299" t="s">
        <v>327</v>
      </c>
      <c r="B299" s="1" t="s">
        <v>338</v>
      </c>
      <c r="C299">
        <f>STDEVP(Данные!C2:C11)</f>
        <v>1366.783541979124</v>
      </c>
    </row>
    <row r="300" spans="1:3" x14ac:dyDescent="0.25">
      <c r="A300" t="s">
        <v>327</v>
      </c>
      <c r="B300" s="1" t="s">
        <v>339</v>
      </c>
      <c r="C300">
        <f>VAR(Данные!C2:C11)</f>
        <v>2075663.6118055556</v>
      </c>
    </row>
    <row r="301" spans="1:3" x14ac:dyDescent="0.25">
      <c r="A301" t="s">
        <v>327</v>
      </c>
      <c r="B301" s="1" t="s">
        <v>340</v>
      </c>
      <c r="C301">
        <f>_xlfn.VAR.P(Данные!C2:C11)</f>
        <v>1868097.2506250001</v>
      </c>
    </row>
    <row r="302" spans="1:3" x14ac:dyDescent="0.25">
      <c r="A302" t="s">
        <v>327</v>
      </c>
      <c r="B302" s="1" t="s">
        <v>341</v>
      </c>
      <c r="C302">
        <f>QUARTILE(Данные!C2:C11,1)</f>
        <v>69.0625</v>
      </c>
    </row>
    <row r="303" spans="1:3" x14ac:dyDescent="0.25">
      <c r="A303" t="s">
        <v>327</v>
      </c>
      <c r="B303" s="1" t="s">
        <v>342</v>
      </c>
      <c r="C303">
        <f>_xlfn.QUARTILE.EXC(Данные!C2:C11,1)</f>
        <v>11.4375</v>
      </c>
    </row>
    <row r="304" spans="1:3" x14ac:dyDescent="0.25">
      <c r="A304" t="s">
        <v>327</v>
      </c>
      <c r="B304" s="1" t="s">
        <v>343</v>
      </c>
      <c r="C304">
        <f>PERCENTILE(Данные!C2:C11,0.9)</f>
        <v>3209.9999999999995</v>
      </c>
    </row>
    <row r="305" spans="1:3" x14ac:dyDescent="0.25">
      <c r="A305" t="s">
        <v>327</v>
      </c>
      <c r="B305" s="1" t="s">
        <v>344</v>
      </c>
      <c r="C305">
        <f>_xlfn.PERCENTILE.EXC(Данные!C2:C11,0.9)</f>
        <v>4090.0000000000005</v>
      </c>
    </row>
    <row r="306" spans="1:3" x14ac:dyDescent="0.25">
      <c r="A306" t="s">
        <v>327</v>
      </c>
      <c r="B306" s="1" t="s">
        <v>345</v>
      </c>
      <c r="C306">
        <f>PERCENTRANK(Данные!C2:C11,980)</f>
        <v>0.55500000000000005</v>
      </c>
    </row>
    <row r="307" spans="1:3" x14ac:dyDescent="0.25">
      <c r="A307" t="s">
        <v>327</v>
      </c>
      <c r="B307" s="1" t="s">
        <v>346</v>
      </c>
      <c r="C307">
        <f>CORREL(Данные!C2:C11,Данные!E2:E11)</f>
        <v>-0.50890990310890893</v>
      </c>
    </row>
    <row r="308" spans="1:3" x14ac:dyDescent="0.25">
      <c r="A308" t="s">
        <v>327</v>
      </c>
      <c r="B308" s="1" t="s">
        <v>347</v>
      </c>
      <c r="C308">
        <f>SLOPE(Данные!C2:C11,Данные!E2:E11)</f>
        <v>-291.59797891036908</v>
      </c>
    </row>
    <row r="309" spans="1:3" x14ac:dyDescent="0.25">
      <c r="A309" t="s">
        <v>327</v>
      </c>
      <c r="B309" s="1" t="s">
        <v>348</v>
      </c>
      <c r="C309">
        <f>INTERCEPT(Данные!C2:C11,Данные!E2:E11)</f>
        <v>2315.8071177504394</v>
      </c>
    </row>
    <row r="310" spans="1:3" x14ac:dyDescent="0.25">
      <c r="A310" t="s">
        <v>327</v>
      </c>
      <c r="B310" s="1" t="s">
        <v>349</v>
      </c>
      <c r="C310">
        <f>FORECAST(10,Данные!C2:C11,Данные!E2:E11)</f>
        <v>-600.17267135325119</v>
      </c>
    </row>
    <row r="311" spans="1:3" x14ac:dyDescent="0.25">
      <c r="A311" t="s">
        <v>327</v>
      </c>
      <c r="B311" s="1" t="s">
        <v>350</v>
      </c>
      <c r="C311">
        <f>_xlfn.FORECAST.LINEAR(10,Данные!C2:C11,Данные!E2:E11)</f>
        <v>-600.17267135325119</v>
      </c>
    </row>
    <row r="312" spans="1:3" x14ac:dyDescent="0.25">
      <c r="A312" t="s">
        <v>327</v>
      </c>
      <c r="B312" s="1" t="s">
        <v>351</v>
      </c>
      <c r="C312" cm="1">
        <f t="array" ref="C312">INDEX(TREND(Данные!C2:C11,Данные!E2:E11),1)</f>
        <v>1441.0131810193325</v>
      </c>
    </row>
    <row r="313" spans="1:3" x14ac:dyDescent="0.25">
      <c r="A313" t="s">
        <v>327</v>
      </c>
      <c r="B313" s="1" t="s">
        <v>352</v>
      </c>
      <c r="C313" cm="1">
        <f t="array" ref="C313">INDEX(FREQUENCY(Данные!C2:C11,{0,1000,3000}),2)</f>
        <v>4</v>
      </c>
    </row>
    <row r="314" spans="1:3" x14ac:dyDescent="0.25">
      <c r="A314" t="s">
        <v>327</v>
      </c>
      <c r="B314" s="1" t="s">
        <v>353</v>
      </c>
      <c r="C314">
        <f>GEOMEAN(Данные!E2:E11)</f>
        <v>3.0949600815477374</v>
      </c>
    </row>
    <row r="315" spans="1:3" x14ac:dyDescent="0.25">
      <c r="A315" t="s">
        <v>327</v>
      </c>
      <c r="B315" s="1" t="s">
        <v>354</v>
      </c>
      <c r="C315">
        <f>HARMEAN(Данные!E2:E11)</f>
        <v>2.3708721422523285</v>
      </c>
    </row>
    <row r="316" spans="1:3" x14ac:dyDescent="0.25">
      <c r="A316" t="s">
        <v>327</v>
      </c>
      <c r="B316" s="1" t="s">
        <v>355</v>
      </c>
      <c r="C316">
        <f>AVEDEV(Данные!C2:C11)</f>
        <v>1057.1399999999999</v>
      </c>
    </row>
    <row r="317" spans="1:3" x14ac:dyDescent="0.25">
      <c r="A317" t="s">
        <v>327</v>
      </c>
      <c r="B317" s="1" t="s">
        <v>356</v>
      </c>
      <c r="C317">
        <f>DEVSQ(Данные!C2:C11)</f>
        <v>18680972.506250005</v>
      </c>
    </row>
    <row r="318" spans="1:3" x14ac:dyDescent="0.25">
      <c r="A318" t="s">
        <v>327</v>
      </c>
      <c r="B318" s="1" t="s">
        <v>357</v>
      </c>
      <c r="C318">
        <f>COUNTA(Данные!A:A)</f>
        <v>11</v>
      </c>
    </row>
    <row r="319" spans="1:3" x14ac:dyDescent="0.25">
      <c r="A319" t="s">
        <v>327</v>
      </c>
      <c r="B319" s="1" t="s">
        <v>358</v>
      </c>
      <c r="C319">
        <f>_xlfn.NORM.DIST(1,0,1,TRUE)</f>
        <v>0.84134474606854304</v>
      </c>
    </row>
    <row r="320" spans="1:3" x14ac:dyDescent="0.25">
      <c r="A320" t="s">
        <v>327</v>
      </c>
      <c r="B320" s="1" t="s">
        <v>359</v>
      </c>
      <c r="C320">
        <f>_xlfn.NORM.INV(0.95,0,1)</f>
        <v>1.6448536269514715</v>
      </c>
    </row>
    <row r="321" spans="1:3" x14ac:dyDescent="0.25">
      <c r="A321" t="s">
        <v>327</v>
      </c>
      <c r="B321" s="1" t="s">
        <v>360</v>
      </c>
      <c r="C321">
        <f>_xlfn.NORM.S.DIST(1.96,TRUE)</f>
        <v>0.97500210485177952</v>
      </c>
    </row>
    <row r="322" spans="1:3" x14ac:dyDescent="0.25">
      <c r="A322" t="s">
        <v>361</v>
      </c>
      <c r="B322" s="1" t="s">
        <v>362</v>
      </c>
      <c r="C322" s="5">
        <f>PMT(0.1/12,36,-100000)</f>
        <v>3226.7187193837485</v>
      </c>
    </row>
    <row r="323" spans="1:3" x14ac:dyDescent="0.25">
      <c r="A323" t="s">
        <v>361</v>
      </c>
      <c r="B323" s="1" t="s">
        <v>363</v>
      </c>
      <c r="C323" s="5">
        <f>PMT(0.08,10,10000,0,1)</f>
        <v>-1379.9026731210683</v>
      </c>
    </row>
    <row r="324" spans="1:3" x14ac:dyDescent="0.25">
      <c r="A324" t="s">
        <v>361</v>
      </c>
      <c r="B324" s="1" t="s">
        <v>364</v>
      </c>
      <c r="C324" s="5">
        <f>IPMT(0.1/12,1,36,-100000)</f>
        <v>833.33333333333337</v>
      </c>
    </row>
    <row r="325" spans="1:3" x14ac:dyDescent="0.25">
      <c r="A325" t="s">
        <v>361</v>
      </c>
      <c r="B325" s="1" t="s">
        <v>365</v>
      </c>
      <c r="C325" s="5">
        <f>PPMT(0.1/12,1,36,-100000)</f>
        <v>2393.3853860504155</v>
      </c>
    </row>
    <row r="326" spans="1:3" x14ac:dyDescent="0.25">
      <c r="A326" t="s">
        <v>361</v>
      </c>
      <c r="B326" s="1" t="s">
        <v>366</v>
      </c>
      <c r="C326" s="5">
        <f>FV(0.05,10,-100)</f>
        <v>1257.7892535548831</v>
      </c>
    </row>
    <row r="327" spans="1:3" x14ac:dyDescent="0.25">
      <c r="A327" t="s">
        <v>361</v>
      </c>
      <c r="B327" s="1" t="s">
        <v>367</v>
      </c>
      <c r="C327" s="5">
        <f>PV(0.05,10,-100)</f>
        <v>772.17349291848132</v>
      </c>
    </row>
    <row r="328" spans="1:3" x14ac:dyDescent="0.25">
      <c r="A328" t="s">
        <v>361</v>
      </c>
      <c r="B328" s="1" t="s">
        <v>368</v>
      </c>
      <c r="C328">
        <f>NPER(0.01,-100,1000)</f>
        <v>10.588644459423231</v>
      </c>
    </row>
    <row r="329" spans="1:3" x14ac:dyDescent="0.25">
      <c r="A329" t="s">
        <v>361</v>
      </c>
      <c r="B329" s="1" t="s">
        <v>369</v>
      </c>
      <c r="C329" s="6">
        <f>RATE(36,-3000,100000)</f>
        <v>4.2206675453815533E-3</v>
      </c>
    </row>
    <row r="330" spans="1:3" x14ac:dyDescent="0.25">
      <c r="A330" t="s">
        <v>361</v>
      </c>
      <c r="B330" s="1" t="s">
        <v>370</v>
      </c>
      <c r="C330" s="5">
        <f>NPV(0.1,-1000,300,400,500)</f>
        <v>-19.12437675022209</v>
      </c>
    </row>
    <row r="331" spans="1:3" x14ac:dyDescent="0.25">
      <c r="A331" t="s">
        <v>361</v>
      </c>
      <c r="B331" s="1" t="s">
        <v>371</v>
      </c>
      <c r="C331" s="6">
        <f>IRR({-1000,300,400,500})</f>
        <v>8.8963394693349906E-2</v>
      </c>
    </row>
    <row r="332" spans="1:3" x14ac:dyDescent="0.25">
      <c r="A332" t="s">
        <v>361</v>
      </c>
      <c r="B332" s="1" t="s">
        <v>372</v>
      </c>
      <c r="C332">
        <f>XNPV(0.1,{-1000,600,600},{46023,46388,46753})</f>
        <v>41.322314049586623</v>
      </c>
    </row>
    <row r="333" spans="1:3" x14ac:dyDescent="0.25">
      <c r="A333" t="s">
        <v>361</v>
      </c>
      <c r="B333" s="1" t="s">
        <v>373</v>
      </c>
      <c r="C333">
        <f>XIRR({-1000,600,600},{46023,46388,46753})</f>
        <v>0.13066238760948182</v>
      </c>
    </row>
    <row r="334" spans="1:3" x14ac:dyDescent="0.25">
      <c r="A334" t="s">
        <v>361</v>
      </c>
      <c r="B334" s="1" t="s">
        <v>374</v>
      </c>
      <c r="C334" s="5">
        <f>SLN(10000,1000,5)</f>
        <v>1800</v>
      </c>
    </row>
    <row r="335" spans="1:3" x14ac:dyDescent="0.25">
      <c r="A335" t="s">
        <v>361</v>
      </c>
      <c r="B335" s="1" t="s">
        <v>375</v>
      </c>
      <c r="C335" s="5">
        <f>DB(10000,1000,5,1)</f>
        <v>3690</v>
      </c>
    </row>
    <row r="336" spans="1:3" x14ac:dyDescent="0.25">
      <c r="A336" t="s">
        <v>361</v>
      </c>
      <c r="B336" s="1" t="s">
        <v>376</v>
      </c>
      <c r="C336" s="5">
        <f>DDB(10000,1000,5,1)</f>
        <v>4000</v>
      </c>
    </row>
    <row r="337" spans="1:3" x14ac:dyDescent="0.25">
      <c r="A337" t="s">
        <v>361</v>
      </c>
      <c r="B337" s="1" t="s">
        <v>377</v>
      </c>
      <c r="C337" s="5">
        <f>SYD(10000,1000,5,1)</f>
        <v>3000</v>
      </c>
    </row>
    <row r="338" spans="1:3" x14ac:dyDescent="0.25">
      <c r="A338" t="s">
        <v>361</v>
      </c>
      <c r="B338" s="1" t="s">
        <v>378</v>
      </c>
      <c r="C338">
        <f>EFFECT(0.1,12)</f>
        <v>0.10471306744129683</v>
      </c>
    </row>
    <row r="339" spans="1:3" x14ac:dyDescent="0.25">
      <c r="A339" t="s">
        <v>361</v>
      </c>
      <c r="B339" s="1" t="s">
        <v>379</v>
      </c>
      <c r="C339">
        <f>NOMINAL(0.1047,12)</f>
        <v>9.9988072551626672E-2</v>
      </c>
    </row>
    <row r="340" spans="1:3" x14ac:dyDescent="0.25">
      <c r="A340" t="s">
        <v>380</v>
      </c>
      <c r="B340" s="1" t="s">
        <v>381</v>
      </c>
      <c r="C340" t="e">
        <f>NA()</f>
        <v>#N/A</v>
      </c>
    </row>
    <row r="341" spans="1:3" x14ac:dyDescent="0.25">
      <c r="A341" t="s">
        <v>380</v>
      </c>
      <c r="B341" s="1" t="s">
        <v>382</v>
      </c>
      <c r="C341" t="b">
        <f>ISNA(NA())</f>
        <v>1</v>
      </c>
    </row>
    <row r="342" spans="1:3" x14ac:dyDescent="0.25">
      <c r="A342" t="s">
        <v>380</v>
      </c>
      <c r="B342" s="1" t="s">
        <v>383</v>
      </c>
      <c r="C342">
        <f>ERROR.TYPE(1/0)</f>
        <v>2</v>
      </c>
    </row>
    <row r="343" spans="1:3" x14ac:dyDescent="0.25">
      <c r="A343" t="s">
        <v>380</v>
      </c>
      <c r="B343" s="1" t="s">
        <v>384</v>
      </c>
      <c r="C343">
        <f ca="1">_xlfn.SHEET()</f>
        <v>5</v>
      </c>
    </row>
    <row r="344" spans="1:3" x14ac:dyDescent="0.25">
      <c r="A344" t="s">
        <v>380</v>
      </c>
      <c r="B344" s="1" t="s">
        <v>385</v>
      </c>
      <c r="C344">
        <f ca="1">_xlfn.SHEETS()</f>
        <v>5</v>
      </c>
    </row>
    <row r="345" spans="1:3" x14ac:dyDescent="0.25">
      <c r="A345" t="s">
        <v>380</v>
      </c>
      <c r="B345" s="1" t="s">
        <v>386</v>
      </c>
      <c r="C345" t="str">
        <f ca="1">_xlfn.FORMULATEXT(Данные!G6)</f>
        <v>=НД()</v>
      </c>
    </row>
    <row r="346" spans="1:3" x14ac:dyDescent="0.25">
      <c r="A346" t="s">
        <v>380</v>
      </c>
      <c r="B346" s="1" t="s">
        <v>387</v>
      </c>
      <c r="C346" cm="1">
        <f t="array" aca="1" ref="C346" ca="1">CELL("row",Данные!C5)</f>
        <v>5</v>
      </c>
    </row>
    <row r="347" spans="1:3" x14ac:dyDescent="0.25">
      <c r="A347" t="s">
        <v>380</v>
      </c>
      <c r="B347" s="1" t="s">
        <v>388</v>
      </c>
      <c r="C347">
        <f>_xlfn.LET(_xlpm.x,5,_xlpm.y,_xlpm.x*2,_xlpm.x+_xlpm.y)</f>
        <v>15</v>
      </c>
    </row>
    <row r="348" spans="1:3" x14ac:dyDescent="0.25">
      <c r="A348" t="s">
        <v>380</v>
      </c>
      <c r="B348" s="1" t="s">
        <v>389</v>
      </c>
      <c r="C348">
        <f>ROWS(Данные!A:A)</f>
        <v>1048576</v>
      </c>
    </row>
    <row r="349" spans="1:3" x14ac:dyDescent="0.25">
      <c r="A349" t="s">
        <v>390</v>
      </c>
      <c r="B349" s="1" t="s">
        <v>391</v>
      </c>
      <c r="C349" s="3">
        <f ca="1">TODAY()</f>
        <v>46305</v>
      </c>
    </row>
    <row r="350" spans="1:3" x14ac:dyDescent="0.25">
      <c r="A350" t="s">
        <v>390</v>
      </c>
      <c r="B350" s="1" t="s">
        <v>392</v>
      </c>
      <c r="C350" s="7">
        <f ca="1">NOW()</f>
        <v>46305.785412500001</v>
      </c>
    </row>
    <row r="351" spans="1:3" x14ac:dyDescent="0.25">
      <c r="A351" t="s">
        <v>390</v>
      </c>
      <c r="B351" s="1" t="s">
        <v>393</v>
      </c>
      <c r="C351">
        <f ca="1">RAND()</f>
        <v>0.45911951382031291</v>
      </c>
    </row>
    <row r="352" spans="1:3" x14ac:dyDescent="0.25">
      <c r="A352" t="s">
        <v>390</v>
      </c>
      <c r="B352" s="1" t="s">
        <v>394</v>
      </c>
      <c r="C352">
        <f ca="1">RANDBETWEEN(1,10)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Данные</vt:lpstr>
      <vt:lpstr>Кв1</vt:lpstr>
      <vt:lpstr>Кв2</vt:lpstr>
      <vt:lpstr>Кв3</vt:lpstr>
      <vt:lpstr>Формулы</vt:lpstr>
      <vt:lpstr>Суммы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Перо Тест</dc:creator>
  <cp:lastModifiedBy>Перо Тест</cp:lastModifiedBy>
  <dcterms:created xsi:type="dcterms:W3CDTF">2026-10-10T15:50:51Z</dcterms:created>
  <dcterms:modified xsi:type="dcterms:W3CDTF">2026-10-10T15:50:59Z</dcterms:modified>
</cp:coreProperties>
</file>