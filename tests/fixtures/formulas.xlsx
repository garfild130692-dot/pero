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067A265D-5E88-4507-AD56-FAFAAB4C6990}" xr6:coauthVersionLast="47" xr6:coauthVersionMax="47" xr10:uidLastSave="{00000000-0000-0000-0000-000000000000}"/>
  <bookViews>
    <workbookView xWindow="2730" yWindow="2730" windowWidth="21600" windowHeight="11295" xr2:uid="{DD5682B5-DED2-461D-A0CC-D388BB63C15D}"/>
  </bookViews>
  <sheets>
    <sheet name="Данные" sheetId="1" r:id="rId1"/>
    <sheet name="Кв1" sheetId="2" r:id="rId2"/>
    <sheet name="Кв2" sheetId="3" r:id="rId3"/>
    <sheet name="Кв3" sheetId="4" r:id="rId4"/>
    <sheet name="Формулы" sheetId="5" r:id="rId5"/>
  </sheets>
  <definedNames>
    <definedName name="Ставка">1/5</definedName>
    <definedName name="Суммы">Данные!$C$2:$C$11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6" i="5" l="1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1" i="5"/>
  <c r="C620" i="5"/>
  <c r="C619" i="5" a="1"/>
  <c r="C619" i="5" s="1"/>
  <c r="C618" i="5" a="1"/>
  <c r="C618" i="5" s="1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 a="1"/>
  <c r="C599" i="5" s="1"/>
  <c r="C598" i="5" a="1"/>
  <c r="C598" i="5" s="1"/>
  <c r="C597" i="5" a="1"/>
  <c r="C597" i="5" s="1"/>
  <c r="C596" i="5" a="1"/>
  <c r="C596" i="5" s="1"/>
  <c r="C595" i="5"/>
  <c r="C594" i="5" a="1"/>
  <c r="C594" i="5" s="1"/>
  <c r="C593" i="5" a="1"/>
  <c r="C593" i="5" s="1"/>
  <c r="C592" i="5"/>
  <c r="C591" i="5"/>
  <c r="C590" i="5"/>
  <c r="C589" i="5"/>
  <c r="C588" i="5" a="1"/>
  <c r="C588" i="5" s="1"/>
  <c r="C587" i="5" a="1"/>
  <c r="C587" i="5" s="1"/>
  <c r="C586" i="5"/>
  <c r="C585" i="5"/>
  <c r="C584" i="5"/>
  <c r="C583" i="5" a="1"/>
  <c r="C583" i="5" s="1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 a="1"/>
  <c r="C516" i="5" s="1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 a="1"/>
  <c r="C494" i="5" s="1"/>
  <c r="C493" i="5" a="1"/>
  <c r="C493" i="5" s="1"/>
  <c r="C492" i="5"/>
  <c r="C491" i="5" a="1"/>
  <c r="C491" i="5" s="1"/>
  <c r="C490" i="5" a="1"/>
  <c r="C490" i="5" s="1"/>
  <c r="C489" i="5" a="1"/>
  <c r="C489" i="5" s="1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 a="1"/>
  <c r="C423" i="5" s="1"/>
  <c r="C421" i="5"/>
  <c r="C420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 a="1"/>
  <c r="C354" i="5" s="1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 a="1"/>
  <c r="C321" i="5" s="1"/>
  <c r="C320" i="5" a="1"/>
  <c r="C320" i="5" s="1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 a="1"/>
  <c r="C258" i="5" s="1"/>
  <c r="C257" i="5" a="1"/>
  <c r="C257" i="5" s="1"/>
  <c r="C256" i="5" a="1"/>
  <c r="C256" i="5" s="1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 a="1"/>
  <c r="C213" i="5" s="1"/>
  <c r="C212" i="5"/>
  <c r="C211" i="5"/>
  <c r="C210" i="5" a="1"/>
  <c r="C210" i="5" s="1"/>
  <c r="C209" i="5" a="1"/>
  <c r="C209" i="5" s="1"/>
  <c r="C208" i="5" a="1"/>
  <c r="C208" i="5" s="1"/>
  <c r="C207" i="5" a="1"/>
  <c r="C207" i="5" s="1"/>
  <c r="C206" i="5"/>
  <c r="C205" i="5"/>
  <c r="C204" i="5" a="1"/>
  <c r="C204" i="5" s="1"/>
  <c r="C203" i="5" a="1"/>
  <c r="C203" i="5"/>
  <c r="C202" i="5" a="1"/>
  <c r="C202" i="5" s="1"/>
  <c r="C201" i="5" a="1"/>
  <c r="C201" i="5" s="1"/>
  <c r="C200" i="5"/>
  <c r="C199" i="5"/>
  <c r="C198" i="5" a="1"/>
  <c r="C198" i="5" s="1"/>
  <c r="C197" i="5" a="1"/>
  <c r="C197" i="5" s="1"/>
  <c r="C196" i="5" a="1"/>
  <c r="C196" i="5" s="1"/>
  <c r="C195" i="5"/>
  <c r="C194" i="5" a="1"/>
  <c r="C194" i="5" s="1"/>
  <c r="C192" i="5"/>
  <c r="C191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59" i="5"/>
  <c r="C158" i="5"/>
  <c r="C157" i="5" a="1"/>
  <c r="C157" i="5" s="1"/>
  <c r="C156" i="5"/>
  <c r="C155" i="5"/>
  <c r="C154" i="5"/>
  <c r="C153" i="5"/>
  <c r="C152" i="5"/>
  <c r="C151" i="5"/>
  <c r="C150" i="5"/>
  <c r="C149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8" i="5"/>
  <c r="C127" i="5"/>
  <c r="C126" i="5"/>
  <c r="C125" i="5"/>
  <c r="C124" i="5"/>
  <c r="C122" i="5"/>
  <c r="C121" i="5"/>
  <c r="C120" i="5" a="1"/>
  <c r="C120" i="5" s="1"/>
  <c r="C119" i="5" a="1"/>
  <c r="C119" i="5" s="1"/>
  <c r="C118" i="5" a="1"/>
  <c r="C118" i="5" s="1"/>
  <c r="C117" i="5"/>
  <c r="C116" i="5"/>
  <c r="C115" i="5"/>
  <c r="C114" i="5"/>
  <c r="C113" i="5"/>
  <c r="C112" i="5"/>
  <c r="C111" i="5"/>
  <c r="C110" i="5"/>
  <c r="C109" i="5"/>
  <c r="C108" i="5"/>
  <c r="C107" i="5"/>
  <c r="C106" i="5" a="1"/>
  <c r="C106" i="5" s="1"/>
  <c r="C105" i="5" a="1"/>
  <c r="C105" i="5" s="1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G8" i="1"/>
  <c r="C129" i="5" s="1"/>
  <c r="G6" i="1"/>
  <c r="C148" i="5" s="1"/>
  <c r="C623" i="5"/>
  <c r="C622" i="5"/>
  <c r="C422" i="5" a="1"/>
  <c r="C419" i="5"/>
  <c r="C353" i="5"/>
  <c r="C190" i="5"/>
  <c r="C189" i="5" a="1"/>
  <c r="C160" i="5" l="1"/>
  <c r="C161" i="5"/>
  <c r="C43" i="5"/>
  <c r="C162" i="5"/>
  <c r="C123" i="5"/>
  <c r="C163" i="5"/>
  <c r="C463" i="5"/>
  <c r="C146" i="5"/>
  <c r="C147" i="5"/>
  <c r="C422" i="5"/>
  <c r="C18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<sst xmlns="http://schemas.openxmlformats.org/spreadsheetml/2006/main" count="2435" uniqueCount="1638">
  <si>
    <t>Имя</t>
  </si>
  <si>
    <t>Отдел</t>
  </si>
  <si>
    <t>Сумма</t>
  </si>
  <si>
    <t>Дата</t>
  </si>
  <si>
    <t>Кол</t>
  </si>
  <si>
    <t>Флаг</t>
  </si>
  <si>
    <t>Смесь</t>
  </si>
  <si>
    <t>Текст</t>
  </si>
  <si>
    <t>Иван</t>
  </si>
  <si>
    <t>Продажи</t>
  </si>
  <si>
    <t xml:space="preserve">  Привет   мир </t>
  </si>
  <si>
    <t>Пётр</t>
  </si>
  <si>
    <t>Склад</t>
  </si>
  <si>
    <t>abc</t>
  </si>
  <si>
    <t>Мария</t>
  </si>
  <si>
    <t>ABC-123</t>
  </si>
  <si>
    <t>Анна</t>
  </si>
  <si>
    <t>Бухгалтерия</t>
  </si>
  <si>
    <t>Иванов Иван Иванович</t>
  </si>
  <si>
    <t>Олег</t>
  </si>
  <si>
    <t>a,b,c</t>
  </si>
  <si>
    <t>Москва</t>
  </si>
  <si>
    <t>Сумма: 100</t>
  </si>
  <si>
    <t>x</t>
  </si>
  <si>
    <t>Test</t>
  </si>
  <si>
    <t>Ольга</t>
  </si>
  <si>
    <t>тест</t>
  </si>
  <si>
    <t>12</t>
  </si>
  <si>
    <t>текст</t>
  </si>
  <si>
    <t>&gt;500</t>
  </si>
  <si>
    <t>Группа</t>
  </si>
  <si>
    <t>Формула</t>
  </si>
  <si>
    <t>Excel</t>
  </si>
  <si>
    <t>Арифметика и операторы</t>
  </si>
  <si>
    <t>1+2*3</t>
  </si>
  <si>
    <t>=1+2*3</t>
  </si>
  <si>
    <t>(1+2)*3</t>
  </si>
  <si>
    <t>=(1+2)*3</t>
  </si>
  <si>
    <t>2^3^2</t>
  </si>
  <si>
    <t>=2^3^2</t>
  </si>
  <si>
    <t>-2^2</t>
  </si>
  <si>
    <t>=-2^2</t>
  </si>
  <si>
    <t>10/4</t>
  </si>
  <si>
    <t>=10/4</t>
  </si>
  <si>
    <t>7/0</t>
  </si>
  <si>
    <t>=7/0</t>
  </si>
  <si>
    <t>5%</t>
  </si>
  <si>
    <t>=5%</t>
  </si>
  <si>
    <t>50%*200</t>
  </si>
  <si>
    <t>=50%*200</t>
  </si>
  <si>
    <t>"3"+4</t>
  </si>
  <si>
    <t>="3"+4</t>
  </si>
  <si>
    <t>"abc"+1</t>
  </si>
  <si>
    <t>="abc"+1</t>
  </si>
  <si>
    <t>"1,5"+1</t>
  </si>
  <si>
    <t>="1,5"+1</t>
  </si>
  <si>
    <t>TRUE+TRUE</t>
  </si>
  <si>
    <t>=ИСТИНА+ИСТИНА</t>
  </si>
  <si>
    <t>1=1</t>
  </si>
  <si>
    <t>=1=1</t>
  </si>
  <si>
    <t>"a"="A"</t>
  </si>
  <si>
    <t>="a"="A"</t>
  </si>
  <si>
    <t>"a"&lt;"b"</t>
  </si>
  <si>
    <t>="a"&lt;"b"</t>
  </si>
  <si>
    <t>"Б"&gt;"А"</t>
  </si>
  <si>
    <t>="Б"&gt;"А"</t>
  </si>
  <si>
    <t>2&lt;"1"</t>
  </si>
  <si>
    <t>=2&lt;"1"</t>
  </si>
  <si>
    <t>TRUE&gt;1</t>
  </si>
  <si>
    <t>=ИСТИНА&gt;1</t>
  </si>
  <si>
    <t>"x"&amp;1.5</t>
  </si>
  <si>
    <t>="x"&amp;1,5</t>
  </si>
  <si>
    <t>1&amp;2</t>
  </si>
  <si>
    <t>=1&amp;2</t>
  </si>
  <si>
    <t>""&amp;TRUE</t>
  </si>
  <si>
    <t>=""&amp;ИСТИНА</t>
  </si>
  <si>
    <t>0.1+0.2</t>
  </si>
  <si>
    <t>=0,1+0,2</t>
  </si>
  <si>
    <t>0.1+0.2=0.3</t>
  </si>
  <si>
    <t>=0,1+0,2=0,3</t>
  </si>
  <si>
    <t>1/3*3</t>
  </si>
  <si>
    <t>=1/3*3</t>
  </si>
  <si>
    <t>10^-3</t>
  </si>
  <si>
    <t>=10^-3</t>
  </si>
  <si>
    <t>1E+3</t>
  </si>
  <si>
    <t>=1000</t>
  </si>
  <si>
    <t>123456789012345678</t>
  </si>
  <si>
    <t>=123456789012345000</t>
  </si>
  <si>
    <t>1/3</t>
  </si>
  <si>
    <t>=1/3</t>
  </si>
  <si>
    <t>2/3+1000000</t>
  </si>
  <si>
    <t>=2/3+1000000</t>
  </si>
  <si>
    <t>Данные!C2+Данные!C3</t>
  </si>
  <si>
    <t>=Данные!C2+Данные!C3</t>
  </si>
  <si>
    <t>Данные!G4+1</t>
  </si>
  <si>
    <t>=Данные!G4+1</t>
  </si>
  <si>
    <t>Данные!G4&amp;"x"</t>
  </si>
  <si>
    <t>=Данные!G4&amp;"x"</t>
  </si>
  <si>
    <t>Данные!G3*2</t>
  </si>
  <si>
    <t>=Данные!G3*2</t>
  </si>
  <si>
    <t>Данные!G8+1</t>
  </si>
  <si>
    <t>=Данные!G8+1</t>
  </si>
  <si>
    <t>Данные!G6+1</t>
  </si>
  <si>
    <t>=Данные!G6+1</t>
  </si>
  <si>
    <t>Математика</t>
  </si>
  <si>
    <t>SUM(Данные!C2:C11)</t>
  </si>
  <si>
    <t>=СУММ(Данные!C2:C11)</t>
  </si>
  <si>
    <t>SUM(Данные!G2:G11)</t>
  </si>
  <si>
    <t>=СУММ(Данные!G2:G11)</t>
  </si>
  <si>
    <t>SUM(1,"2",TRUE)</t>
  </si>
  <si>
    <t>=СУММ(1;"2";ИСТИНА)</t>
  </si>
  <si>
    <t>SUM(Данные!C2:C11,100)</t>
  </si>
  <si>
    <t>=СУММ(Данные!C2:C11;100)</t>
  </si>
  <si>
    <t>PRODUCT(Данные!E2:E6)</t>
  </si>
  <si>
    <t>=ПРОИЗВЕД(Данные!E2:E6)</t>
  </si>
  <si>
    <t>AVERAGE(Данные!C2:C11)</t>
  </si>
  <si>
    <t>=СРЗНАЧ(Данные!C2:C11)</t>
  </si>
  <si>
    <t>AVERAGE(Данные!G2:G11)</t>
  </si>
  <si>
    <t>=СРЗНАЧ(Данные!G2:G11)</t>
  </si>
  <si>
    <t>MIN(Данные!C2:C11)</t>
  </si>
  <si>
    <t>=МИН(Данные!C2:C11)</t>
  </si>
  <si>
    <t>MAX(Данные!C2:C11)</t>
  </si>
  <si>
    <t>=МАКС(Данные!C2:C11)</t>
  </si>
  <si>
    <t>MEDIAN(Данные!C2:C11)</t>
  </si>
  <si>
    <t>=МЕДИАНА(Данные!C2:C11)</t>
  </si>
  <si>
    <t>ABS(-3.5)</t>
  </si>
  <si>
    <t>=ABS(-3,5)</t>
  </si>
  <si>
    <t>SIGN(-0.1)</t>
  </si>
  <si>
    <t>=ЗНАК(-0,1)</t>
  </si>
  <si>
    <t>INT(-2.5)</t>
  </si>
  <si>
    <t>=ЦЕЛОЕ(-2,5)</t>
  </si>
  <si>
    <t>INT(2.5)</t>
  </si>
  <si>
    <t>=ЦЕЛОЕ(2,5)</t>
  </si>
  <si>
    <t>SQRT(16)</t>
  </si>
  <si>
    <t>=КОРЕНЬ(16)</t>
  </si>
  <si>
    <t>SQRT(-1)</t>
  </si>
  <si>
    <t>=КОРЕНЬ(-1)</t>
  </si>
  <si>
    <t>PI()</t>
  </si>
  <si>
    <t>=ПИ()</t>
  </si>
  <si>
    <t>POWER(2,10)</t>
  </si>
  <si>
    <t>=СТЕПЕНЬ(2;10)</t>
  </si>
  <si>
    <t>MOD(10,3)</t>
  </si>
  <si>
    <t>=ОСТАТ(10;3)</t>
  </si>
  <si>
    <t>MOD(-10,3)</t>
  </si>
  <si>
    <t>=ОСТАТ(-10;3)</t>
  </si>
  <si>
    <t>MOD(10,-3)</t>
  </si>
  <si>
    <t>=ОСТАТ(10;-3)</t>
  </si>
  <si>
    <t>MOD(5,0)</t>
  </si>
  <si>
    <t>=ОСТАТ(5;0)</t>
  </si>
  <si>
    <t>ROUND(2.345,2)</t>
  </si>
  <si>
    <t>=ОКРУГЛ(2,345;2)</t>
  </si>
  <si>
    <t>ROUND(2.5,0)</t>
  </si>
  <si>
    <t>=ОКРУГЛ(2,5;0)</t>
  </si>
  <si>
    <t>ROUND(-2.5,0)</t>
  </si>
  <si>
    <t>=ОКРУГЛ(-2,5;0)</t>
  </si>
  <si>
    <t>ROUND(1234.5678,-2)</t>
  </si>
  <si>
    <t>=ОКРУГЛ(1234,5678;-2)</t>
  </si>
  <si>
    <t>ROUND(0.285,2)</t>
  </si>
  <si>
    <t>=ОКРУГЛ(0,285;2)</t>
  </si>
  <si>
    <t>ROUNDUP(2.341,2)</t>
  </si>
  <si>
    <t>=ОКРУГЛВВЕРХ(2,341;2)</t>
  </si>
  <si>
    <t>ROUNDUP(-2.341,1)</t>
  </si>
  <si>
    <t>=ОКРУГЛВВЕРХ(-2,341;1)</t>
  </si>
  <si>
    <t>ROUNDDOWN(2.349,2)</t>
  </si>
  <si>
    <t>=ОКРУГЛВНИЗ(2,349;2)</t>
  </si>
  <si>
    <t>MROUND(10,3)</t>
  </si>
  <si>
    <t>=ОКРУГЛТ(10;3)</t>
  </si>
  <si>
    <t>MROUND(-10,-3)</t>
  </si>
  <si>
    <t>=ОКРУГЛТ(-10;-3)</t>
  </si>
  <si>
    <t>CEILING(2.1,1)</t>
  </si>
  <si>
    <t>=ОКРВВЕРХ(2,1;1)</t>
  </si>
  <si>
    <t>CEILING(-2.1,-1)</t>
  </si>
  <si>
    <t>=ОКРВВЕРХ(-2,1;-1)</t>
  </si>
  <si>
    <t>CEILING.MATH(-2.1)</t>
  </si>
  <si>
    <t>=ОКРВВЕРХ.МАТ(-2,1)</t>
  </si>
  <si>
    <t>FLOOR(2.9,1)</t>
  </si>
  <si>
    <t>=ОКРВНИЗ(2,9;1)</t>
  </si>
  <si>
    <t>FLOOR.MATH(-2.1)</t>
  </si>
  <si>
    <t>=ОКРВНИЗ.МАТ(-2,1)</t>
  </si>
  <si>
    <t>TRUNC(-8.9)</t>
  </si>
  <si>
    <t>=ОТБР(-8,9)</t>
  </si>
  <si>
    <t>TRUNC(3.14159,2)</t>
  </si>
  <si>
    <t>=ОТБР(3,14159;2)</t>
  </si>
  <si>
    <t>EVEN(3)</t>
  </si>
  <si>
    <t>=ЧЁТН(3)</t>
  </si>
  <si>
    <t>ODD(4)</t>
  </si>
  <si>
    <t>=НЕЧЁТ(4)</t>
  </si>
  <si>
    <t>EXP(1)</t>
  </si>
  <si>
    <t>=EXP(1)</t>
  </si>
  <si>
    <t>LN(10)</t>
  </si>
  <si>
    <t>=LN(10)</t>
  </si>
  <si>
    <t>LOG(100)</t>
  </si>
  <si>
    <t>=LOG(100)</t>
  </si>
  <si>
    <t>LOG(8,2)</t>
  </si>
  <si>
    <t>=LOG(8;2)</t>
  </si>
  <si>
    <t>LOG10(1000)</t>
  </si>
  <si>
    <t>=LOG10(1000)</t>
  </si>
  <si>
    <t>FACT(5)</t>
  </si>
  <si>
    <t>=ФАКТР(5)</t>
  </si>
  <si>
    <t>GCD(12,18)</t>
  </si>
  <si>
    <t>=НОД(12;18)</t>
  </si>
  <si>
    <t>LCM(4,6)</t>
  </si>
  <si>
    <t>=НОК(4;6)</t>
  </si>
  <si>
    <t>QUOTIENT(7,2)</t>
  </si>
  <si>
    <t>=ЧАСТНОЕ(7;2)</t>
  </si>
  <si>
    <t>SIN(PI()/2)</t>
  </si>
  <si>
    <t>=SIN(ПИ()/2)</t>
  </si>
  <si>
    <t>COS(0)</t>
  </si>
  <si>
    <t>=COS(0)</t>
  </si>
  <si>
    <t>TAN(PI()/4)</t>
  </si>
  <si>
    <t>=TAN(ПИ()/4)</t>
  </si>
  <si>
    <t>ATAN2(1,1)</t>
  </si>
  <si>
    <t>=ATAN2(1;1)</t>
  </si>
  <si>
    <t>DEGREES(PI())</t>
  </si>
  <si>
    <t>=ГРАДУСЫ(ПИ())</t>
  </si>
  <si>
    <t>RADIANS(180)</t>
  </si>
  <si>
    <t>=РАДИАНЫ(180)</t>
  </si>
  <si>
    <t>ROMAN(1994)</t>
  </si>
  <si>
    <t>=РИМСКОЕ(1994)</t>
  </si>
  <si>
    <t>ARABIC("MCMXCIV")</t>
  </si>
  <si>
    <t>=АРАБСКОЕ("MCMXCIV")</t>
  </si>
  <si>
    <t>SUMSQ(1,2,3)</t>
  </si>
  <si>
    <t>=СУММКВ(1;2;3)</t>
  </si>
  <si>
    <t>COMBIN(5,2)</t>
  </si>
  <si>
    <t>=ЧИСЛКОМБ(5;2)</t>
  </si>
  <si>
    <t>PERMUT(5,2)</t>
  </si>
  <si>
    <t>=ПЕРЕСТ(5;2)</t>
  </si>
  <si>
    <t>BASE(255,16)</t>
  </si>
  <si>
    <t>=ОСНОВАНИЕ(255;16)</t>
  </si>
  <si>
    <t>DECIMAL("FF",16)</t>
  </si>
  <si>
    <t>=ДЕС("FF";16)</t>
  </si>
  <si>
    <t>SUM(Данные!C:C)</t>
  </si>
  <si>
    <t>=СУММ(Данные!C:C)</t>
  </si>
  <si>
    <t>SUM(Данные!2:2)</t>
  </si>
  <si>
    <t>=СУММ(Данные!2:2)</t>
  </si>
  <si>
    <t>SUM(Кв1:Кв3!A1)</t>
  </si>
  <si>
    <t>=СУММ(Кв1:Кв3!A1)</t>
  </si>
  <si>
    <t>AVERAGE(Кв1:Кв3!B2)</t>
  </si>
  <si>
    <t>=СРЗНАЧ(Кв1:Кв3!B2)</t>
  </si>
  <si>
    <t>SUM(Суммы)</t>
  </si>
  <si>
    <t>=СУММ(Суммы)</t>
  </si>
  <si>
    <t>1000*Ставка</t>
  </si>
  <si>
    <t>=1000*Ставка</t>
  </si>
  <si>
    <t>SUM(Суммы)*Ставка</t>
  </si>
  <si>
    <t>=СУММ(Суммы)*Ставка</t>
  </si>
  <si>
    <t>Логические</t>
  </si>
  <si>
    <t>IF(Данные!C2&gt;1000,"много","мало")</t>
  </si>
  <si>
    <t>=ЕСЛИ(Данные!C2&gt;1000;"много";"мало")</t>
  </si>
  <si>
    <t>IF(0,1)</t>
  </si>
  <si>
    <t>=ЕСЛИ(0;1)</t>
  </si>
  <si>
    <t>IF("",1,2)</t>
  </si>
  <si>
    <t>=ЕСЛИ("";1;2)</t>
  </si>
  <si>
    <t>IF(Данные!G4,1,2)</t>
  </si>
  <si>
    <t>=ЕСЛИ(Данные!G4;1;2)</t>
  </si>
  <si>
    <t>IFERROR(1/0,"ошибка")</t>
  </si>
  <si>
    <t>=ЕСЛИОШИБКА(1/0;"ошибка")</t>
  </si>
  <si>
    <t>IFERROR(Данные!G6,"нет")</t>
  </si>
  <si>
    <t>=ЕСЛИОШИБКА(Данные!G6;"нет")</t>
  </si>
  <si>
    <t>AND(TRUE,1,"")</t>
  </si>
  <si>
    <t>=И(ИСТИНА;1;"")</t>
  </si>
  <si>
    <t>AND(Данные!F2:F11)</t>
  </si>
  <si>
    <t>=И(Данные!F2:F11)</t>
  </si>
  <si>
    <t>OR(Данные!F2:F11)</t>
  </si>
  <si>
    <t>=ИЛИ(Данные!F2:F11)</t>
  </si>
  <si>
    <t>NOT(0)</t>
  </si>
  <si>
    <t>=НЕ(0)</t>
  </si>
  <si>
    <t>XOR(TRUE,TRUE,TRUE)</t>
  </si>
  <si>
    <t>=ИСКЛИЛИ(ИСТИНА;ИСТИНА;ИСТИНА)</t>
  </si>
  <si>
    <t>IFS(Данные!C3&gt;1000,"A",Данные!C3&gt;100,"B",TRUE,"C")</t>
  </si>
  <si>
    <t>=ЕСЛИМН(Данные!C3&gt;1000;"A";Данные!C3&gt;100;"B";ИСТИНА;"C")</t>
  </si>
  <si>
    <t>SWITCH(2,1,"один",2,"два","иначе")</t>
  </si>
  <si>
    <t>=ПЕРЕКЛЮЧ(2;1;"один";2;"два";"иначе")</t>
  </si>
  <si>
    <t>SWITCH(9,1,"один","иначе")</t>
  </si>
  <si>
    <t>=ПЕРЕКЛЮЧ(9;1;"один";"иначе")</t>
  </si>
  <si>
    <t>IFNA(NA(),"нет")</t>
  </si>
  <si>
    <t>=ЕСНД(НД();"нет")</t>
  </si>
  <si>
    <t>IFNA(1/0,"нет")</t>
  </si>
  <si>
    <t>=ЕСНД(1/0;"нет")</t>
  </si>
  <si>
    <t>ISNA(Данные!G6)</t>
  </si>
  <si>
    <t>=ЕНД(Данные!G6)</t>
  </si>
  <si>
    <t>ISLOGICAL(Данные!F2)</t>
  </si>
  <si>
    <t>=ЕЛОГИЧ(Данные!F2)</t>
  </si>
  <si>
    <t>ISREF(Данные!A1)</t>
  </si>
  <si>
    <t>=ЕССЫЛКА(Данные!A1)</t>
  </si>
  <si>
    <t>ISEVEN(4)</t>
  </si>
  <si>
    <t>=ЕЧЁТН(4)</t>
  </si>
  <si>
    <t>ISODD(4)</t>
  </si>
  <si>
    <t>=ЕНЕЧЁТ(4)</t>
  </si>
  <si>
    <t>ISBLANK(Данные!G4)</t>
  </si>
  <si>
    <t>=ЕПУСТО(Данные!G4)</t>
  </si>
  <si>
    <t>ISBLANK(Данные!G8)</t>
  </si>
  <si>
    <t>=ЕПУСТО(Данные!G8)</t>
  </si>
  <si>
    <t>ISNUMBER(Данные!G3)</t>
  </si>
  <si>
    <t>=ЕЧИСЛО(Данные!G3)</t>
  </si>
  <si>
    <t>ISTEXT(Данные!G8)</t>
  </si>
  <si>
    <t>=ЕТЕКСТ(Данные!G8)</t>
  </si>
  <si>
    <t>ISERROR(Данные!G6)</t>
  </si>
  <si>
    <t>=ЕОШИБКА(Данные!G6)</t>
  </si>
  <si>
    <t>ISERR(Данные!G6)</t>
  </si>
  <si>
    <t>=ЕОШ(Данные!G6)</t>
  </si>
  <si>
    <t>ISNONTEXT(Данные!G4)</t>
  </si>
  <si>
    <t>=ЕНЕТЕКСТ(Данные!G4)</t>
  </si>
  <si>
    <t>ISFORMULA(Данные!G6)</t>
  </si>
  <si>
    <t>=ЕФОРМУЛА(Данные!G6)</t>
  </si>
  <si>
    <t>N(Данные!G5)</t>
  </si>
  <si>
    <t>=Ч(Данные!G5)</t>
  </si>
  <si>
    <t>TYPE(Данные!G3)</t>
  </si>
  <si>
    <t>=ТИП(Данные!G3)</t>
  </si>
  <si>
    <t>TYPE(Данные!G6)</t>
  </si>
  <si>
    <t>=ТИП(Данные!G6)</t>
  </si>
  <si>
    <t>Условные итоги</t>
  </si>
  <si>
    <t>SUMIF(Данные!B2:B11,"Продажи",Данные!C2:C11)</t>
  </si>
  <si>
    <t>=СУММЕСЛИ(Данные!B2:B11;"Продажи";Данные!C2:C11)</t>
  </si>
  <si>
    <t>SUMIF(Данные!C2:C11,"&gt;1000")</t>
  </si>
  <si>
    <t>=СУММЕСЛИ(Данные!C2:C11;"&gt;1000")</t>
  </si>
  <si>
    <t>SUMIF(Данные!C2:C11,"&lt;&gt;0")</t>
  </si>
  <si>
    <t>=СУММЕСЛИ(Данные!C2:C11;"&lt;&gt;0")</t>
  </si>
  <si>
    <t>SUMIF(Данные!A2:A11,"И*",Данные!E2:E11)</t>
  </si>
  <si>
    <t>=СУММЕСЛИ(Данные!A2:A11;"И*";Данные!E2:E11)</t>
  </si>
  <si>
    <t>SUMIF(Данные!A2:A11,"?????",Данные!E2:E11)</t>
  </si>
  <si>
    <t>=СУММЕСЛИ(Данные!A2:A11;"?????";Данные!E2:E11)</t>
  </si>
  <si>
    <t>COUNTIF(Данные!B2:B11,"склад")</t>
  </si>
  <si>
    <t>=СЧЁТЕСЛИ(Данные!B2:B11;"склад")</t>
  </si>
  <si>
    <t>COUNTIF(Данные!C2:C11,"&gt;="&amp;1000)</t>
  </si>
  <si>
    <t>=СЧЁТЕСЛИ(Данные!C2:C11;"&gt;="&amp;1000)</t>
  </si>
  <si>
    <t>COUNTIF(Данные!G2:G11,"")</t>
  </si>
  <si>
    <t>=СЧЁТЕСЛИ(Данные!G2:G11;"")</t>
  </si>
  <si>
    <t>COUNTIF(Данные!G2:G11,"&lt;&gt;")</t>
  </si>
  <si>
    <t>=СЧЁТЕСЛИ(Данные!G2:G11;"&lt;&gt;")</t>
  </si>
  <si>
    <t>COUNTIF(Данные!G2:G11,12)</t>
  </si>
  <si>
    <t>=СЧЁТЕСЛИ(Данные!G2:G11;12)</t>
  </si>
  <si>
    <t>COUNTIF(Данные!F2:F11,TRUE)</t>
  </si>
  <si>
    <t>=СЧЁТЕСЛИ(Данные!F2:F11;ИСТИНА)</t>
  </si>
  <si>
    <t>AVERAGEIF(Данные!B2:B11,"Склад",Данные!C2:C11)</t>
  </si>
  <si>
    <t>=СРЗНАЧЕСЛИ(Данные!B2:B11;"Склад";Данные!C2:C11)</t>
  </si>
  <si>
    <t>SUMIFS(Данные!C2:C11,Данные!B2:B11,"Продажи",Данные!E2:E11,"&gt;3")</t>
  </si>
  <si>
    <t>=СУММЕСЛИМН(Данные!C2:C11;Данные!B2:B11;"Продажи";Данные!E2:E11;"&gt;3")</t>
  </si>
  <si>
    <t>COUNTIFS(Данные!B2:B11,"Склад",Данные!C2:C11,"&gt;0")</t>
  </si>
  <si>
    <t>=СЧЁТЕСЛИМН(Данные!B2:B11;"Склад";Данные!C2:C11;"&gt;0")</t>
  </si>
  <si>
    <t>AVERAGEIFS(Данные!C2:C11,Данные!B2:B11,"Продажи")</t>
  </si>
  <si>
    <t>=СРЗНАЧЕСЛИМН(Данные!C2:C11;Данные!B2:B11;"Продажи")</t>
  </si>
  <si>
    <t>MAXIFS(Данные!C2:C11,Данные!B2:B11,"Склад")</t>
  </si>
  <si>
    <t>=МАКСЕСЛИ(Данные!C2:C11;Данные!B2:B11;"Склад")</t>
  </si>
  <si>
    <t>MINIFS(Данные!C2:C11,Данные!B2:B11,"Склад")</t>
  </si>
  <si>
    <t>=МИНЕСЛИ(Данные!C2:C11;Данные!B2:B11;"Склад")</t>
  </si>
  <si>
    <t>SUMPRODUCT(Данные!C2:C11,Данные!E2:E11)</t>
  </si>
  <si>
    <t>=СУММПРОИЗВ(Данные!C2:C11;Данные!E2:E11)</t>
  </si>
  <si>
    <t>SUMPRODUCT((Данные!B2:B11="Склад")*Данные!C2:C11)</t>
  </si>
  <si>
    <t>=СУММПРОИЗВ((Данные!B2:B11="Склад")*Данные!C2:C11)</t>
  </si>
  <si>
    <t>SUBTOTAL(9,Данные!C2:C11)</t>
  </si>
  <si>
    <t>=ПРОМЕЖУТОЧНЫЕ.ИТОГИ(9;Данные!C2:C11)</t>
  </si>
  <si>
    <t>SUBTOTAL(101,Данные!C2:C11)</t>
  </si>
  <si>
    <t>=ПРОМЕЖУТОЧНЫЕ.ИТОГИ(101;Данные!C2:C11)</t>
  </si>
  <si>
    <t>AGGREGATE(9,6,Данные!G2:G11)</t>
  </si>
  <si>
    <t>=АГРЕГАТ(9;6;Данные!G2:G11)</t>
  </si>
  <si>
    <t>COUNT(Данные!G2:G11)</t>
  </si>
  <si>
    <t>=СЧЁТ(Данные!G2:G11)</t>
  </si>
  <si>
    <t>COUNTA(Данные!G2:G11)</t>
  </si>
  <si>
    <t>=СЧЁТЗ(Данные!G2:G11)</t>
  </si>
  <si>
    <t>COUNTBLANK(Данные!G2:G11)</t>
  </si>
  <si>
    <t>=СЧИТАТЬПУСТОТЫ(Данные!G2:G11)</t>
  </si>
  <si>
    <t>Поиск и ссылки</t>
  </si>
  <si>
    <t>VLOOKUP("Мария",Данные!A2:C11,3,FALSE)</t>
  </si>
  <si>
    <t>=ВПР("Мария";Данные!A2:C11;3;ЛОЖЬ)</t>
  </si>
  <si>
    <t>VLOOKUP("мария",Данные!A2:C11,3,0)</t>
  </si>
  <si>
    <t>=ВПР("мария";Данные!A2:C11;3;0)</t>
  </si>
  <si>
    <t>VLOOKUP("Нет",Данные!A2:C11,3,FALSE)</t>
  </si>
  <si>
    <t>=ВПР("Нет";Данные!A2:C11;3;ЛОЖЬ)</t>
  </si>
  <si>
    <t>VLOOKUP("Ма*",Данные!A2:C11,2,FALSE)</t>
  </si>
  <si>
    <t>=ВПР("Ма*";Данные!A2:C11;2;ЛОЖЬ)</t>
  </si>
  <si>
    <t>VLOOKUP(2500,{0,"мало";1000,"средне";3000,"много"},2)</t>
  </si>
  <si>
    <t>=ВПР(2500;{0;"мало":1000;"средне":3000;"много"};2)</t>
  </si>
  <si>
    <t>HLOOKUP("Сумма",Данные!A1:H11,3,FALSE)</t>
  </si>
  <si>
    <t>=ГПР("Сумма";Данные!A1:H11;3;ЛОЖЬ)</t>
  </si>
  <si>
    <t>LOOKUP(5,{1,4,7},{"a","b","c"})</t>
  </si>
  <si>
    <t>=ПРОСМОТР(5;{1;4;7};{"a";"b";"c"})</t>
  </si>
  <si>
    <t>MATCH("Олег",Данные!A2:A11,0)</t>
  </si>
  <si>
    <t>=ПОИСКПОЗ("Олег";Данные!A2:A11;0)</t>
  </si>
  <si>
    <t>MATCH(100,{10,50,200},1)</t>
  </si>
  <si>
    <t>=ПОИСКПОЗ(100;{10;50;200};1)</t>
  </si>
  <si>
    <t>MATCH(100,{200,50,10},-1)</t>
  </si>
  <si>
    <t>=ПОИСКПОЗ(100;{200;50;10};-1)</t>
  </si>
  <si>
    <t>INDEX(Данные!A2:C11,4,3)</t>
  </si>
  <si>
    <t>=ИНДЕКС(Данные!A2:C11;4;3)</t>
  </si>
  <si>
    <t>INDEX(Данные!A2:A11,MATCH("Анна",Данные!A2:A11,0))</t>
  </si>
  <si>
    <t>=ИНДЕКС(Данные!A2:A11;ПОИСКПОЗ("Анна";Данные!A2:A11;0))</t>
  </si>
  <si>
    <t>INDEX({1,2;3,4},2,1)</t>
  </si>
  <si>
    <t>=ИНДЕКС({1;2:3;4};2;1)</t>
  </si>
  <si>
    <t>XLOOKUP("Олег",Данные!A2:A11,Данные!C2:C11)</t>
  </si>
  <si>
    <t>=ПРОСМОТРX("Олег";Данные!A2:A11;Данные!C2:C11)</t>
  </si>
  <si>
    <t>XLOOKUP("Нет",Данные!A2:A11,Данные!C2:C11,"не найдено")</t>
  </si>
  <si>
    <t>=ПРОСМОТРX("Нет";Данные!A2:A11;Данные!C2:C11;"не найдено")</t>
  </si>
  <si>
    <t>XLOOKUP("Иван",Данные!A2:A11,Данные!C2:C11,,0,-1)</t>
  </si>
  <si>
    <t>=ПРОСМОТРX("Иван";Данные!A2:A11;Данные!C2:C11;;0;-1)</t>
  </si>
  <si>
    <t>XMATCH("Анна",Данные!A2:A11)</t>
  </si>
  <si>
    <t>=ПОИСКПОЗX("Анна";Данные!A2:A11)</t>
  </si>
  <si>
    <t>CHOOSE(2,"а","б","в")</t>
  </si>
  <si>
    <t>=ВЫБОР(2;"а";"б";"в")</t>
  </si>
  <si>
    <t>ROW(Данные!C5)</t>
  </si>
  <si>
    <t>=СТРОКА(Данные!C5)</t>
  </si>
  <si>
    <t>COLUMN(Данные!C5)</t>
  </si>
  <si>
    <t>=СТОЛБЕЦ(Данные!C5)</t>
  </si>
  <si>
    <t>ROWS(Данные!A2:C11)</t>
  </si>
  <si>
    <t>=ЧСТРОК(Данные!A2:C11)</t>
  </si>
  <si>
    <t>COLUMNS(Данные!A2:C11)</t>
  </si>
  <si>
    <t>=ЧИСЛСТОЛБ(Данные!A2:C11)</t>
  </si>
  <si>
    <t>ADDRESS(2,3)</t>
  </si>
  <si>
    <t>=АДРЕС(2;3)</t>
  </si>
  <si>
    <t>ADDRESS(2,3,4)</t>
  </si>
  <si>
    <t>=АДРЕС(2;3;4)</t>
  </si>
  <si>
    <t>SUM(OFFSET(Данные!C2,1,0,3,1))</t>
  </si>
  <si>
    <t>=СУММ(СМЕЩ(Данные!C2;1;0;3;1))</t>
  </si>
  <si>
    <t>INDIRECT("Данные!C3")</t>
  </si>
  <si>
    <t>=ДВССЫЛ("Данные!C3")</t>
  </si>
  <si>
    <t>SUM(INDIRECT("Данные!C2:C4"))</t>
  </si>
  <si>
    <t>=СУММ(ДВССЫЛ("Данные!C2:C4"))</t>
  </si>
  <si>
    <t>RANK(980,Данные!C2:C11)</t>
  </si>
  <si>
    <t>=РАНГ(980;Данные!C2:C11)</t>
  </si>
  <si>
    <t>RANK.EQ(980,Данные!C2:C11,1)</t>
  </si>
  <si>
    <t>=РАНГ.РВ(980;Данные!C2:C11;1)</t>
  </si>
  <si>
    <t>RANK.AVG(1,{1,1,2})</t>
  </si>
  <si>
    <t>Excel не принял формулу</t>
  </si>
  <si>
    <t>Динамические массивы (свёрнуто до одного значения)</t>
  </si>
  <si>
    <t>SUM(FILTER(Данные!C2:C11,Данные!B2:B11="Склад"))</t>
  </si>
  <si>
    <t>=СУММ(ФИЛЬТР(Данные!C2:C11;Данные!B2:B11="Склад"))</t>
  </si>
  <si>
    <t>ROWS(UNIQUE(Данные!A2:A11))</t>
  </si>
  <si>
    <t>=ЧСТРОК(УНИК(Данные!A2:A11))</t>
  </si>
  <si>
    <t>INDEX(SORT(Данные!C2:C11),1)</t>
  </si>
  <si>
    <t>=ИНДЕКС(СОРТ(Данные!C2:C11);1)</t>
  </si>
  <si>
    <t>INDEX(SORT(Данные!C2:C11,1,-1),1)</t>
  </si>
  <si>
    <t>=ИНДЕКС(СОРТ(Данные!C2:C11;1;-1);1)</t>
  </si>
  <si>
    <t>INDEX(SORTBY(Данные!A2:A11,Данные!C2:C11,-1),1)</t>
  </si>
  <si>
    <t>=ИНДЕКС(СОРТПО(Данные!A2:A11;Данные!C2:C11;-1);1)</t>
  </si>
  <si>
    <t>SUM(SEQUENCE(10))</t>
  </si>
  <si>
    <t>=СУММ(ПОСЛЕД(10))</t>
  </si>
  <si>
    <t>INDEX(SEQUENCE(3,3,10,5),3,2)</t>
  </si>
  <si>
    <t>=ИНДЕКС(ПОСЛЕД(3;3;10;5);3;2)</t>
  </si>
  <si>
    <t>INDEX(TRANSPOSE(Данные!A2:A4),1,3)</t>
  </si>
  <si>
    <t>=ИНДЕКС(ТРАНСП(Данные!A2:A4);1;3)</t>
  </si>
  <si>
    <t>SUM({1,2,3}*{4,5,6})</t>
  </si>
  <si>
    <t>=СУММ({1;2;3}*{4;5;6})</t>
  </si>
  <si>
    <t>SUM(Данные!C2:C11*(Данные!E2:E11&gt;3))</t>
  </si>
  <si>
    <t>=СУММ(Данные!C2:C11*(Данные!E2:E11&gt;3))</t>
  </si>
  <si>
    <t>MAX(IF(Данные!B2:B11="Продажи",Данные!C2:C11))</t>
  </si>
  <si>
    <t>=МАКС(ЕСЛИ(Данные!B2:B11="Продажи";Данные!C2:C11))</t>
  </si>
  <si>
    <t>TEXTJOIN(";",TRUE,UNIQUE(Данные!B2:B11))</t>
  </si>
  <si>
    <t>=ОБЪЕДИНИТЬ(";";ИСТИНА;УНИК(Данные!B2:B11))</t>
  </si>
  <si>
    <t>SUM({1,2;3,4})</t>
  </si>
  <si>
    <t>=СУММ({1;2:3;4})</t>
  </si>
  <si>
    <t>INDEX({1,2;3,4}*10,2,2)</t>
  </si>
  <si>
    <t>=ИНДЕКС({1;2:3;4}*10;2;2)</t>
  </si>
  <si>
    <t>SUM(-{1,2,3})</t>
  </si>
  <si>
    <t>=СУММ(-{1;2;3})</t>
  </si>
  <si>
    <t>COUNT(IF(Данные!C2:C11&gt;500,1,""))</t>
  </si>
  <si>
    <t>=СЧЁТ(ЕСЛИ(Данные!C2:C11&gt;500;1;""))</t>
  </si>
  <si>
    <t>SUM(IFERROR(1/(Данные!E2:E11-3),0))</t>
  </si>
  <si>
    <t>=СУММ(ЕСЛИОШИБКА(1/(Данные!E2:E11-3);0))</t>
  </si>
  <si>
    <t>ROWS(SEQUENCE(5,2))</t>
  </si>
  <si>
    <t>=ЧСТРОК(ПОСЛЕД(5;2))</t>
  </si>
  <si>
    <t>COLUMNS(Данные!A1:H1)</t>
  </si>
  <si>
    <t>=ЧИСЛСТОЛБ(Данные!A1:H1)</t>
  </si>
  <si>
    <t>SUM(LEN(Данные!A2:A11))</t>
  </si>
  <si>
    <t>=СУММ(ДЛСТР(Данные!A2:A11))</t>
  </si>
  <si>
    <t>LEN(Данные!H2)</t>
  </si>
  <si>
    <t>=ДЛСТР(Данные!H2)</t>
  </si>
  <si>
    <t>TRIM(Данные!H2)</t>
  </si>
  <si>
    <t>=СЖПРОБЕЛЫ(Данные!H2)</t>
  </si>
  <si>
    <t>UPPER(Данные!H3)</t>
  </si>
  <si>
    <t>=ПРОПИСН(Данные!H3)</t>
  </si>
  <si>
    <t>LOWER("ПрИвЕт")</t>
  </si>
  <si>
    <t>=СТРОЧН("ПрИвЕт")</t>
  </si>
  <si>
    <t>PROPER("иванов иван")</t>
  </si>
  <si>
    <t>=ПРОПНАЧ("иванов иван")</t>
  </si>
  <si>
    <t>LEFT(Данные!H5,6)</t>
  </si>
  <si>
    <t>=ЛЕВСИМВ(Данные!H5;6)</t>
  </si>
  <si>
    <t>RIGHT(Данные!H4,3)</t>
  </si>
  <si>
    <t>=ПРАВСИМВ(Данные!H4;3)</t>
  </si>
  <si>
    <t>MID(Данные!H5,8,4)</t>
  </si>
  <si>
    <t>=ПСТР(Данные!H5;8;4)</t>
  </si>
  <si>
    <t>LEFT("abc")</t>
  </si>
  <si>
    <t>=ЛЕВСИМВ("abc")</t>
  </si>
  <si>
    <t>FIND("-",Данные!H4)</t>
  </si>
  <si>
    <t>=НАЙТИ("-";Данные!H4)</t>
  </si>
  <si>
    <t>FIND("z","abc")</t>
  </si>
  <si>
    <t>=НАЙТИ("z";"abc")</t>
  </si>
  <si>
    <t>SEARCH("иван",Данные!H5)</t>
  </si>
  <si>
    <t>=ПОИСК("иван";Данные!H5)</t>
  </si>
  <si>
    <t>SEARCH("?ва",Данные!H5)</t>
  </si>
  <si>
    <t>=ПОИСК("?ва";Данные!H5)</t>
  </si>
  <si>
    <t>SUBSTITUTE(Данные!H6,",",";")</t>
  </si>
  <si>
    <t>=ПОДСТАВИТЬ(Данные!H6;",";";")</t>
  </si>
  <si>
    <t>SUBSTITUTE("a-a-a","a","b",2)</t>
  </si>
  <si>
    <t>=ПОДСТАВИТЬ("a-a-a";"a";"b";2)</t>
  </si>
  <si>
    <t>REPLACE("abcdef",2,3,"X")</t>
  </si>
  <si>
    <t>=ЗАМЕНИТЬ("abcdef";2;3;"X")</t>
  </si>
  <si>
    <t>REPT("ab",3)</t>
  </si>
  <si>
    <t>=ПОВТОР("ab";3)</t>
  </si>
  <si>
    <t>CONCATENATE("a",1,TRUE)</t>
  </si>
  <si>
    <t>=СЦЕПИТЬ("a";1;ИСТИНА)</t>
  </si>
  <si>
    <t>CONCAT(Данные!A2:A4)</t>
  </si>
  <si>
    <t>=СЦЕП(Данные!A2:A4)</t>
  </si>
  <si>
    <t>TEXTJOIN(", ",TRUE,Данные!A2:A5)</t>
  </si>
  <si>
    <t>=ОБЪЕДИНИТЬ(", ";ИСТИНА;Данные!A2:A5)</t>
  </si>
  <si>
    <t>TEXTJOIN("-",FALSE,"a","","b")</t>
  </si>
  <si>
    <t>=ОБЪЕДИНИТЬ("-";ЛОЖЬ;"a";"";"b")</t>
  </si>
  <si>
    <t>EXACT("abc","ABC")</t>
  </si>
  <si>
    <t>=СОВПАД("abc";"ABC")</t>
  </si>
  <si>
    <t>CHAR(65)</t>
  </si>
  <si>
    <t>=СИМВОЛ(65)</t>
  </si>
  <si>
    <t>CODE("A")</t>
  </si>
  <si>
    <t>=КОДСИМВ("A")</t>
  </si>
  <si>
    <t>UNICHAR(1046)</t>
  </si>
  <si>
    <t>=ЮНИСИМВ(1046)</t>
  </si>
  <si>
    <t>UNICODE("Ж")</t>
  </si>
  <si>
    <t>=UNICODE("Ж")</t>
  </si>
  <si>
    <t>CLEAN("a"&amp;CHAR(10)&amp;"b")</t>
  </si>
  <si>
    <t>=ПЕЧСИМВ("a"&amp;СИМВОЛ(10)&amp;"b")</t>
  </si>
  <si>
    <t>VALUE("1 234,5")</t>
  </si>
  <si>
    <t>=ЗНАЧЕН("1 234,5")</t>
  </si>
  <si>
    <t>VALUE("12%")</t>
  </si>
  <si>
    <t>=ЗНАЧЕН("12%")</t>
  </si>
  <si>
    <t>VALUE("abc")</t>
  </si>
  <si>
    <t>=ЗНАЧЕН("abc")</t>
  </si>
  <si>
    <t>NUMBERVALUE("1.234,5",",",".")</t>
  </si>
  <si>
    <t>=ЧЗНАЧ("1.234,5";",";".")</t>
  </si>
  <si>
    <t>T(Данные!H3)</t>
  </si>
  <si>
    <t>=Т(Данные!H3)</t>
  </si>
  <si>
    <t>T(5)</t>
  </si>
  <si>
    <t>=Т(5)</t>
  </si>
  <si>
    <t>TEXT(1234.567,"0.00")</t>
  </si>
  <si>
    <t>=ТЕКСТ(1234,567;"0.00")</t>
  </si>
  <si>
    <t>TEXT(1234.567,"# ##0,00")</t>
  </si>
  <si>
    <t>=ТЕКСТ(1234,567;"# ##0,00")</t>
  </si>
  <si>
    <t>TEXT(0.256,"0%")</t>
  </si>
  <si>
    <t>=ТЕКСТ(0,256;"0%")</t>
  </si>
  <si>
    <t>TEXT(46301,"ДД.ММ.ГГГГ")</t>
  </si>
  <si>
    <t>=ТЕКСТ(46301;"ДД.ММ.ГГГГ")</t>
  </si>
  <si>
    <t>TEXT(46301,"dd.mm.yyyy")</t>
  </si>
  <si>
    <t>=ТЕКСТ(46301;"dd.mm.yyyy")</t>
  </si>
  <si>
    <t>TEXT(46301,"ДДДД")</t>
  </si>
  <si>
    <t>=ТЕКСТ(46301;"ДДДД")</t>
  </si>
  <si>
    <t>TEXT(46301,"ММММ ГГГГ")</t>
  </si>
  <si>
    <t>=ТЕКСТ(46301;"ММММ ГГГГ")</t>
  </si>
  <si>
    <t>FIXED(1234.567,1)</t>
  </si>
  <si>
    <t>=ФИКСИРОВАННЫЙ(1234,567;1)</t>
  </si>
  <si>
    <t>DOLLAR(1234.5)</t>
  </si>
  <si>
    <t>=РУБЛЬ(1234,5)</t>
  </si>
  <si>
    <t>TEXTBEFORE(Данные!H8,":")</t>
  </si>
  <si>
    <t>=TEXTBEFORE(Данные!H8;":")</t>
  </si>
  <si>
    <t>TEXTAFTER(Данные!H8,": ")</t>
  </si>
  <si>
    <t>=TEXTAFTER(Данные!H8;": ")</t>
  </si>
  <si>
    <t>INDEX(TEXTSPLIT(Данные!H6,","),2)</t>
  </si>
  <si>
    <t>=ИНДЕКС(TEXTSPLIT(Данные!H6;",");2)</t>
  </si>
  <si>
    <t>LEN(Данные!H5)-LEN(SUBSTITUTE(Данные!H5," ",""))+1</t>
  </si>
  <si>
    <t>=ДЛСТР(Данные!H5)-ДЛСТР(ПОДСТАВИТЬ(Данные!H5;" ";""))+1</t>
  </si>
  <si>
    <t>Данные!A2&amp;" ("&amp;Данные!B2&amp;")"</t>
  </si>
  <si>
    <t>=Данные!A2&amp;" ("&amp;Данные!B2&amp;")"</t>
  </si>
  <si>
    <t>Дата и время</t>
  </si>
  <si>
    <t>DATE(2026,10,10)</t>
  </si>
  <si>
    <t>=ДАТА(2026;10;10)</t>
  </si>
  <si>
    <t>DATE(2026,13,1)</t>
  </si>
  <si>
    <t>=ДАТА(2026;13;1)</t>
  </si>
  <si>
    <t>DATE(2026,1,0)</t>
  </si>
  <si>
    <t>=ДАТА(2026;1;0)</t>
  </si>
  <si>
    <t>DATE(26,1,1)</t>
  </si>
  <si>
    <t>=ДАТА(26;1;1)</t>
  </si>
  <si>
    <t>YEAR(Данные!D2)</t>
  </si>
  <si>
    <t>=ГОД(Данные!D2)</t>
  </si>
  <si>
    <t>MONTH(Данные!D3)</t>
  </si>
  <si>
    <t>=МЕСЯЦ(Данные!D3)</t>
  </si>
  <si>
    <t>DAY(Данные!D6)</t>
  </si>
  <si>
    <t>=ДЕНЬ(Данные!D6)</t>
  </si>
  <si>
    <t>DATE(1900,2,29)</t>
  </si>
  <si>
    <t>=ДАТА(1900;2;29)</t>
  </si>
  <si>
    <t>DATE(1900,3,1)</t>
  </si>
  <si>
    <t>=ДАТА(1900;3;1)</t>
  </si>
  <si>
    <t>WEEKDAY(Данные!D2)</t>
  </si>
  <si>
    <t>=ДЕНЬНЕД(Данные!D2)</t>
  </si>
  <si>
    <t>WEEKDAY(Данные!D2,2)</t>
  </si>
  <si>
    <t>=ДЕНЬНЕД(Данные!D2;2)</t>
  </si>
  <si>
    <t>WEEKNUM(Данные!D2,2)</t>
  </si>
  <si>
    <t>=НОМНЕДЕЛИ(Данные!D2;2)</t>
  </si>
  <si>
    <t>ISOWEEKNUM(Данные!D2)</t>
  </si>
  <si>
    <t>=НОМНЕДЕЛИ.ISO(Данные!D2)</t>
  </si>
  <si>
    <t>EDATE(Данные!D2,1)</t>
  </si>
  <si>
    <t>=ДАТАМЕС(Данные!D2;1)</t>
  </si>
  <si>
    <t>EDATE(DATE(2026,1,31),1)</t>
  </si>
  <si>
    <t>=ДАТАМЕС(ДАТА(2026;1;31);1)</t>
  </si>
  <si>
    <t>EOMONTH(Данные!D2,0)</t>
  </si>
  <si>
    <t>=КОНМЕСЯЦА(Данные!D2;0)</t>
  </si>
  <si>
    <t>EOMONTH(Данные!D2,-1)</t>
  </si>
  <si>
    <t>=КОНМЕСЯЦА(Данные!D2;-1)</t>
  </si>
  <si>
    <t>WORKDAY(Данные!D2,10)</t>
  </si>
  <si>
    <t>=РАБДЕНЬ(Данные!D2;10)</t>
  </si>
  <si>
    <t>WORKDAY.INTL(Данные!D2,10,11)</t>
  </si>
  <si>
    <t>=РАБДЕНЬ.МЕЖД(Данные!D2;10;11)</t>
  </si>
  <si>
    <t>NETWORKDAYS(Данные!D2,Данные!D3)</t>
  </si>
  <si>
    <t>=ЧИСТРАБДНИ(Данные!D2;Данные!D3)</t>
  </si>
  <si>
    <t>NETWORKDAYS.INTL(Данные!D2,Данные!D3,1)</t>
  </si>
  <si>
    <t>=ЧИСТРАБДНИ.МЕЖД(Данные!D2;Данные!D3;1)</t>
  </si>
  <si>
    <t>DATEDIF(Данные!D6,Данные!D2,"y")</t>
  </si>
  <si>
    <t>=РАЗНДАТ(Данные!D6;Данные!D2;"y")</t>
  </si>
  <si>
    <t>DATEDIF(Данные!D6,Данные!D2,"m")</t>
  </si>
  <si>
    <t>=РАЗНДАТ(Данные!D6;Данные!D2;"m")</t>
  </si>
  <si>
    <t>DATEDIF(Данные!D6,Данные!D2,"md")</t>
  </si>
  <si>
    <t>=РАЗНДАТ(Данные!D6;Данные!D2;"md")</t>
  </si>
  <si>
    <t>DAYS(Данные!D3,Данные!D2)</t>
  </si>
  <si>
    <t>=ДНИ(Данные!D3;Данные!D2)</t>
  </si>
  <si>
    <t>Данные!D3-Данные!D2</t>
  </si>
  <si>
    <t>=Данные!D3-Данные!D2</t>
  </si>
  <si>
    <t>YEARFRAC(Данные!D2,Данные!D3)</t>
  </si>
  <si>
    <t>=ДОЛЯГОДА(Данные!D2;Данные!D3)</t>
  </si>
  <si>
    <t>YEARFRAC(Данные!D2,Данные!D3,1)</t>
  </si>
  <si>
    <t>=ДОЛЯГОДА(Данные!D2;Данные!D3;1)</t>
  </si>
  <si>
    <t>DAYS360(Данные!D2,Данные!D3)</t>
  </si>
  <si>
    <t>=ДНЕЙ360(Данные!D2;Данные!D3)</t>
  </si>
  <si>
    <t>TIME(14,30,0)</t>
  </si>
  <si>
    <t>=ВРЕМЯ(14;30;0)</t>
  </si>
  <si>
    <t>HOUR(0.75)</t>
  </si>
  <si>
    <t>=ЧАС(0,75)</t>
  </si>
  <si>
    <t>MINUTE(TIME(14,30,15))</t>
  </si>
  <si>
    <t>=МИНУТЫ(ВРЕМЯ(14;30;15))</t>
  </si>
  <si>
    <t>SECOND(TIME(14,30,15))</t>
  </si>
  <si>
    <t>=СЕКУНДЫ(ВРЕМЯ(14;30;15))</t>
  </si>
  <si>
    <t>DATEVALUE("15.01.2026")</t>
  </si>
  <si>
    <t>=ДАТАЗНАЧ("15.01.2026")</t>
  </si>
  <si>
    <t>TIMEVALUE("14:30")</t>
  </si>
  <si>
    <t>=ВРЕМЗНАЧ("14:30")</t>
  </si>
  <si>
    <t>Данные!D2+30</t>
  </si>
  <si>
    <t>=Данные!D2+30</t>
  </si>
  <si>
    <t>Статистика</t>
  </si>
  <si>
    <t>AVERAGEA(Данные!G2:G11)</t>
  </si>
  <si>
    <t>=СРЗНАЧА(Данные!G2:G11)</t>
  </si>
  <si>
    <t>MAXA(Данные!F2:F11)</t>
  </si>
  <si>
    <t>=МАКСА(Данные!F2:F11)</t>
  </si>
  <si>
    <t>MINA(Данные!F2:F11)</t>
  </si>
  <si>
    <t>=МИНА(Данные!F2:F11)</t>
  </si>
  <si>
    <t>LARGE(Данные!C2:C11,2)</t>
  </si>
  <si>
    <t>=НАИБОЛЬШИЙ(Данные!C2:C11;2)</t>
  </si>
  <si>
    <t>SMALL(Данные!C2:C11,3)</t>
  </si>
  <si>
    <t>=НАИМЕНЬШИЙ(Данные!C2:C11;3)</t>
  </si>
  <si>
    <t>MODE(Данные!E2:E11)</t>
  </si>
  <si>
    <t>=МОДА(Данные!E2:E11)</t>
  </si>
  <si>
    <t>MODE.SNGL(Данные!E2:E11)</t>
  </si>
  <si>
    <t>=МОДА.ОДН(Данные!E2:E11)</t>
  </si>
  <si>
    <t>STDEV(Данные!C2:C11)</t>
  </si>
  <si>
    <t>=СТАНДОТКЛОН(Данные!C2:C11)</t>
  </si>
  <si>
    <t>STDEV.S(Данные!C2:C11)</t>
  </si>
  <si>
    <t>=СТАНДОТКЛОН.В(Данные!C2:C11)</t>
  </si>
  <si>
    <t>STDEV.P(Данные!C2:C11)</t>
  </si>
  <si>
    <t>=СТАНДОТКЛОН.Г(Данные!C2:C11)</t>
  </si>
  <si>
    <t>STDEVP(Данные!C2:C11)</t>
  </si>
  <si>
    <t>=СТАНДОТКЛОНП(Данные!C2:C11)</t>
  </si>
  <si>
    <t>VAR(Данные!C2:C11)</t>
  </si>
  <si>
    <t>=ДИСП(Данные!C2:C11)</t>
  </si>
  <si>
    <t>VAR.P(Данные!C2:C11)</t>
  </si>
  <si>
    <t>=ДИСП.Г(Данные!C2:C11)</t>
  </si>
  <si>
    <t>QUARTILE(Данные!C2:C11,1)</t>
  </si>
  <si>
    <t>=КВАРТИЛЬ(Данные!C2:C11;1)</t>
  </si>
  <si>
    <t>QUARTILE.EXC(Данные!C2:C11,1)</t>
  </si>
  <si>
    <t>=КВАРТИЛЬ.ИСКЛ(Данные!C2:C11;1)</t>
  </si>
  <si>
    <t>PERCENTILE(Данные!C2:C11,0.9)</t>
  </si>
  <si>
    <t>=ПЕРСЕНТИЛЬ(Данные!C2:C11;0,9)</t>
  </si>
  <si>
    <t>PERCENTILE.EXC(Данные!C2:C11,0.9)</t>
  </si>
  <si>
    <t>=ПРОЦЕНТИЛЬ.ИСКЛ(Данные!C2:C11;0,9)</t>
  </si>
  <si>
    <t>PERCENTRANK(Данные!C2:C11,980)</t>
  </si>
  <si>
    <t>=ПРОЦЕНТРАНГ(Данные!C2:C11;980)</t>
  </si>
  <si>
    <t>CORREL(Данные!C2:C11,Данные!E2:E11)</t>
  </si>
  <si>
    <t>=КОРРЕЛ(Данные!C2:C11;Данные!E2:E11)</t>
  </si>
  <si>
    <t>SLOPE(Данные!C2:C11,Данные!E2:E11)</t>
  </si>
  <si>
    <t>=НАКЛОН(Данные!C2:C11;Данные!E2:E11)</t>
  </si>
  <si>
    <t>INTERCEPT(Данные!C2:C11,Данные!E2:E11)</t>
  </si>
  <si>
    <t>=ОТРЕЗОК(Данные!C2:C11;Данные!E2:E11)</t>
  </si>
  <si>
    <t>FORECAST(10,Данные!C2:C11,Данные!E2:E11)</t>
  </si>
  <si>
    <t>=ПРЕДСКАЗ(10;Данные!C2:C11;Данные!E2:E11)</t>
  </si>
  <si>
    <t>FORECAST.LINEAR(10,Данные!C2:C11,Данные!E2:E11)</t>
  </si>
  <si>
    <t>=ПРЕДСКАЗ.ЛИНЕЙН(10;Данные!C2:C11;Данные!E2:E11)</t>
  </si>
  <si>
    <t>INDEX(TREND(Данные!C2:C11,Данные!E2:E11),1)</t>
  </si>
  <si>
    <t>=ИНДЕКС(ТЕНДЕНЦИЯ(Данные!C2:C11;Данные!E2:E11);1)</t>
  </si>
  <si>
    <t>INDEX(FREQUENCY(Данные!C2:C11,{0,1000,3000}),2)</t>
  </si>
  <si>
    <t>=ИНДЕКС(ЧАСТОТА(Данные!C2:C11;{0;1000;3000});2)</t>
  </si>
  <si>
    <t>GEOMEAN(Данные!E2:E11)</t>
  </si>
  <si>
    <t>=СРГЕОМ(Данные!E2:E11)</t>
  </si>
  <si>
    <t>HARMEAN(Данные!E2:E11)</t>
  </si>
  <si>
    <t>=СРГАРМ(Данные!E2:E11)</t>
  </si>
  <si>
    <t>AVEDEV(Данные!C2:C11)</t>
  </si>
  <si>
    <t>=СРОТКЛ(Данные!C2:C11)</t>
  </si>
  <si>
    <t>DEVSQ(Данные!C2:C11)</t>
  </si>
  <si>
    <t>=КВАДРОТКЛ(Данные!C2:C11)</t>
  </si>
  <si>
    <t>COUNTA(Данные!A:A)</t>
  </si>
  <si>
    <t>=СЧЁТЗ(Данные!A:A)</t>
  </si>
  <si>
    <t>NORM.DIST(1,0,1,TRUE)</t>
  </si>
  <si>
    <t>=НОРМ.РАСП(1;0;1;ИСТИНА)</t>
  </si>
  <si>
    <t>NORM.INV(0.95,0,1)</t>
  </si>
  <si>
    <t>=НОРМ.ОБР(0,95;0;1)</t>
  </si>
  <si>
    <t>NORM.S.DIST(1.96,TRUE)</t>
  </si>
  <si>
    <t>=НОРМ.СТ.РАСП(1,96;ИСТИНА)</t>
  </si>
  <si>
    <t>Финансы</t>
  </si>
  <si>
    <t>PMT(0.1/12,36,-100000)</t>
  </si>
  <si>
    <t>=ПЛТ(0,1/12;36;-100000)</t>
  </si>
  <si>
    <t>PMT(0.08,10,10000,0,1)</t>
  </si>
  <si>
    <t>=ПЛТ(0,08;10;10000;0;1)</t>
  </si>
  <si>
    <t>IPMT(0.1/12,1,36,-100000)</t>
  </si>
  <si>
    <t>=ПРПЛТ(0,1/12;1;36;-100000)</t>
  </si>
  <si>
    <t>PPMT(0.1/12,1,36,-100000)</t>
  </si>
  <si>
    <t>=ОСПЛТ(0,1/12;1;36;-100000)</t>
  </si>
  <si>
    <t>FV(0.05,10,-100)</t>
  </si>
  <si>
    <t>=БС(0,05;10;-100)</t>
  </si>
  <si>
    <t>PV(0.05,10,-100)</t>
  </si>
  <si>
    <t>=ПС(0,05;10;-100)</t>
  </si>
  <si>
    <t>NPER(0.01,-100,1000)</t>
  </si>
  <si>
    <t>=КПЕР(0,01;-100;1000)</t>
  </si>
  <si>
    <t>RATE(36,-3000,100000)</t>
  </si>
  <si>
    <t>=СТАВКА(36;-3000;100000)</t>
  </si>
  <si>
    <t>NPV(0.1,-1000,300,400,500)</t>
  </si>
  <si>
    <t>=ЧПС(0,1;-1000;300;400;500)</t>
  </si>
  <si>
    <t>IRR({-1000,300,400,500})</t>
  </si>
  <si>
    <t>=ВСД({-1000;300;400;500})</t>
  </si>
  <si>
    <t>XNPV(0.1,{-1000,600,600},{46023,46388,46753})</t>
  </si>
  <si>
    <t>=ЧИСТНЗ(0,1;{-1000;600;600};{46023;46388;46753})</t>
  </si>
  <si>
    <t>XIRR({-1000,600,600},{46023,46388,46753})</t>
  </si>
  <si>
    <t>=ЧИСТВНДОХ({-1000;600;600};{46023;46388;46753})</t>
  </si>
  <si>
    <t>SLN(10000,1000,5)</t>
  </si>
  <si>
    <t>=АПЛ(10000;1000;5)</t>
  </si>
  <si>
    <t>DB(10000,1000,5,1)</t>
  </si>
  <si>
    <t>=ФУО(10000;1000;5;1)</t>
  </si>
  <si>
    <t>DDB(10000,1000,5,1)</t>
  </si>
  <si>
    <t>=ДДОБ(10000;1000;5;1)</t>
  </si>
  <si>
    <t>SYD(10000,1000,5,1)</t>
  </si>
  <si>
    <t>=АСЧ(10000;1000;5;1)</t>
  </si>
  <si>
    <t>EFFECT(0.1,12)</t>
  </si>
  <si>
    <t>=ЭФФЕКТ(0,1;12)</t>
  </si>
  <si>
    <t>NOMINAL(0.1047,12)</t>
  </si>
  <si>
    <t>=НОМИНАЛ(0,1047;12)</t>
  </si>
  <si>
    <t>Информация и прочее</t>
  </si>
  <si>
    <t>NA()</t>
  </si>
  <si>
    <t>=НД()</t>
  </si>
  <si>
    <t>ISNA(NA())</t>
  </si>
  <si>
    <t>=ЕНД(НД())</t>
  </si>
  <si>
    <t>ERROR.TYPE(1/0)</t>
  </si>
  <si>
    <t>=ТИП.ОШИБКИ(1/0)</t>
  </si>
  <si>
    <t>SHEET()</t>
  </si>
  <si>
    <t>=ЛИСТ()</t>
  </si>
  <si>
    <t>SHEETS()</t>
  </si>
  <si>
    <t>=ЛИСТЫ()</t>
  </si>
  <si>
    <t>FORMULATEXT(Данные!G6)</t>
  </si>
  <si>
    <t>=Ф.ТЕКСТ(Данные!G6)</t>
  </si>
  <si>
    <t>CELL("row",Данные!C5)</t>
  </si>
  <si>
    <t>=ЯЧЕЙКА("row";Данные!C5)</t>
  </si>
  <si>
    <t>LET(x,5,y,x*2,x+y)</t>
  </si>
  <si>
    <t>=LET(x;5;y;x*2;x+y)</t>
  </si>
  <si>
    <t>ROWS(Данные!A:A)</t>
  </si>
  <si>
    <t>=ЧСТРОК(Данные!A:A)</t>
  </si>
  <si>
    <t>Летучие (только тип)</t>
  </si>
  <si>
    <t>TODAY()</t>
  </si>
  <si>
    <t>=СЕГОДНЯ()</t>
  </si>
  <si>
    <t>NOW()</t>
  </si>
  <si>
    <t>=ТДАТА()</t>
  </si>
  <si>
    <t>RAND()</t>
  </si>
  <si>
    <t>=СЛЧИС()</t>
  </si>
  <si>
    <t>RANDBETWEEN(1,10)</t>
  </si>
  <si>
    <t>=СЛУЧМЕЖДУ(1;10)</t>
  </si>
  <si>
    <t>Функции: дополнительные проверки</t>
  </si>
  <si>
    <t>ASIN(0.5)</t>
  </si>
  <si>
    <t>=ASIN(0,5)</t>
  </si>
  <si>
    <t>ACOS(-1)</t>
  </si>
  <si>
    <t>=ACOS(-1)</t>
  </si>
  <si>
    <t>ATAN(1)</t>
  </si>
  <si>
    <t>=ATAN(1)</t>
  </si>
  <si>
    <t>SINH(1)</t>
  </si>
  <si>
    <t>=SINH(1)</t>
  </si>
  <si>
    <t>COSH(1)</t>
  </si>
  <si>
    <t>=COSH(1)</t>
  </si>
  <si>
    <t>TANH(0.5)</t>
  </si>
  <si>
    <t>=TANH(0,5)</t>
  </si>
  <si>
    <t>SQRTPI(2)</t>
  </si>
  <si>
    <t>=КОРЕНЬПИ(2)</t>
  </si>
  <si>
    <t>SUMX2MY2({1,2,3},{4,5,6})</t>
  </si>
  <si>
    <t>=СУММРАЗНКВ({1;2;3};{4;5;6})</t>
  </si>
  <si>
    <t>SUMXMY2({1,2,3},{4,5,6})</t>
  </si>
  <si>
    <t>=СУММКВРАЗН({1;2;3};{4;5;6})</t>
  </si>
  <si>
    <t>MROUND(2.5,1)</t>
  </si>
  <si>
    <t>=ОКРУГЛТ(2,5;1)</t>
  </si>
  <si>
    <t>MROUND(-2.5,-1)</t>
  </si>
  <si>
    <t>=ОКРУГЛТ(-2,5;-1)</t>
  </si>
  <si>
    <t>CEILING.MATH(-2.1,1,1)</t>
  </si>
  <si>
    <t>=ОКРВВЕРХ.МАТ(-2,1;1;1)</t>
  </si>
  <si>
    <t>FLOOR.MATH(-2.1,1,1)</t>
  </si>
  <si>
    <t>=ОКРВНИЗ.МАТ(-2,1;1;1)</t>
  </si>
  <si>
    <t>FLOOR(-2.9,-1)</t>
  </si>
  <si>
    <t>=ОКРВНИЗ(-2,9;-1)</t>
  </si>
  <si>
    <t>ODD(-1.5)</t>
  </si>
  <si>
    <t>=НЕЧЁТ(-1,5)</t>
  </si>
  <si>
    <t>EVEN(-0.5)</t>
  </si>
  <si>
    <t>=ЧЁТН(-0,5)</t>
  </si>
  <si>
    <t>TRUNC(1234.5678,-2)</t>
  </si>
  <si>
    <t>=ОТБР(1234,5678;-2)</t>
  </si>
  <si>
    <t>ROMAN(3999)</t>
  </si>
  <si>
    <t>=РИМСКОЕ(3999)</t>
  </si>
  <si>
    <t>ARABIC("xiv")</t>
  </si>
  <si>
    <t>=АРАБСКОЕ("xiv")</t>
  </si>
  <si>
    <t>BASE(10,2,8)</t>
  </si>
  <si>
    <t>=ОСНОВАНИЕ(10;2;8)</t>
  </si>
  <si>
    <t>COMBIN(10,0)</t>
  </si>
  <si>
    <t>=ЧИСЛКОМБ(10;0)</t>
  </si>
  <si>
    <t>FACT(0)</t>
  </si>
  <si>
    <t>=ФАКТР(0)</t>
  </si>
  <si>
    <t>LOG(1)</t>
  </si>
  <si>
    <t>=LOG(1)</t>
  </si>
  <si>
    <t>QUOTIENT(-7,2)</t>
  </si>
  <si>
    <t>=ЧАСТНОЕ(-7;2)</t>
  </si>
  <si>
    <t>WEEKDAY(Данные!D3,3)</t>
  </si>
  <si>
    <t>=ДЕНЬНЕД(Данные!D3;3)</t>
  </si>
  <si>
    <t>WEEKDAY(Данные!D3,11)</t>
  </si>
  <si>
    <t>=ДЕНЬНЕД(Данные!D3;11)</t>
  </si>
  <si>
    <t>WEEKDAY(Данные!D3,16)</t>
  </si>
  <si>
    <t>=ДЕНЬНЕД(Данные!D3;16)</t>
  </si>
  <si>
    <t>WEEKNUM(Данные!D4)</t>
  </si>
  <si>
    <t>=НОМНЕДЕЛИ(Данные!D4)</t>
  </si>
  <si>
    <t>WEEKNUM(DATE(2026,12,31),2)</t>
  </si>
  <si>
    <t>=НОМНЕДЕЛИ(ДАТА(2026;12;31);2)</t>
  </si>
  <si>
    <t>ISOWEEKNUM(DATE(2027,1,1))</t>
  </si>
  <si>
    <t>=НОМНЕДЕЛИ.ISO(ДАТА(2027;1;1))</t>
  </si>
  <si>
    <t>EOMONTH(DATE(2024,1,31),1)</t>
  </si>
  <si>
    <t>=КОНМЕСЯЦА(ДАТА(2024;1;31);1)</t>
  </si>
  <si>
    <t>EDATE(DATE(2024,2,29),12)</t>
  </si>
  <si>
    <t>=ДАТАМЕС(ДАТА(2024;2;29);12)</t>
  </si>
  <si>
    <t>WORKDAY(Данные!D2,-5)</t>
  </si>
  <si>
    <t>=РАБДЕНЬ(Данные!D2;-5)</t>
  </si>
  <si>
    <t>WORKDAY(Данные!D2,10,Данные!D3:D4)</t>
  </si>
  <si>
    <t>=РАБДЕНЬ(Данные!D2;10;Данные!D3:D4)</t>
  </si>
  <si>
    <t>NETWORKDAYS.INTL(Данные!D2,Данные!D3,"0000011")</t>
  </si>
  <si>
    <t>=ЧИСТРАБДНИ.МЕЖД(Данные!D2;Данные!D3;"0000011")</t>
  </si>
  <si>
    <t>NETWORKDAYS(Данные!D3,Данные!D2)</t>
  </si>
  <si>
    <t>=ЧИСТРАБДНИ(Данные!D3;Данные!D2)</t>
  </si>
  <si>
    <t>DATEDIF(Данные!D6,Данные!D2,"ym")</t>
  </si>
  <si>
    <t>=РАЗНДАТ(Данные!D6;Данные!D2;"ym")</t>
  </si>
  <si>
    <t>DATEDIF(Данные!D6,Данные!D2,"yd")</t>
  </si>
  <si>
    <t>=РАЗНДАТ(Данные!D6;Данные!D2;"yd")</t>
  </si>
  <si>
    <t>DATEDIF(Данные!D6,Данные!D2,"d")</t>
  </si>
  <si>
    <t>=РАЗНДАТ(Данные!D6;Данные!D2;"d")</t>
  </si>
  <si>
    <t>YEARFRAC(Данные!D6,Данные!D2,2)</t>
  </si>
  <si>
    <t>=ДОЛЯГОДА(Данные!D6;Данные!D2;2)</t>
  </si>
  <si>
    <t>YEARFRAC(Данные!D6,Данные!D2,3)</t>
  </si>
  <si>
    <t>=ДОЛЯГОДА(Данные!D6;Данные!D2;3)</t>
  </si>
  <si>
    <t>YEARFRAC(Данные!D6,Данные!D2,4)</t>
  </si>
  <si>
    <t>=ДОЛЯГОДА(Данные!D6;Данные!D2;4)</t>
  </si>
  <si>
    <t>YEARFRAC(Данные!D6,Данные!D2,1)</t>
  </si>
  <si>
    <t>=ДОЛЯГОДА(Данные!D6;Данные!D2;1)</t>
  </si>
  <si>
    <t>DAYS360(DATE(2026,1,31),DATE(2026,3,31),TRUE)</t>
  </si>
  <si>
    <t>=ДНЕЙ360(ДАТА(2026;1;31);ДАТА(2026;3;31);ИСТИНА)</t>
  </si>
  <si>
    <t>TIME(25,70,0)</t>
  </si>
  <si>
    <t>=ВРЕМЯ(25;70;0)</t>
  </si>
  <si>
    <t>HOUR("18:45")</t>
  </si>
  <si>
    <t>=ЧАС("18:45")</t>
  </si>
  <si>
    <t>TIMEVALUE("6:30:15")</t>
  </si>
  <si>
    <t>=ВРЕМЗНАЧ("6:30:15")</t>
  </si>
  <si>
    <t>DATEVALUE("01.02.2026")</t>
  </si>
  <si>
    <t>=ДАТАЗНАЧ("01.02.2026")</t>
  </si>
  <si>
    <t>XLOOKUP(1000,Данные!C2:C11,Данные!A2:A11,,-1)</t>
  </si>
  <si>
    <t>=ПРОСМОТРX(1000;Данные!C2:C11;Данные!A2:A11;;-1)</t>
  </si>
  <si>
    <t>XLOOKUP(1000,Данные!C2:C11,Данные!A2:A11,,1)</t>
  </si>
  <si>
    <t>=ПРОСМОТРX(1000;Данные!C2:C11;Данные!A2:A11;;1)</t>
  </si>
  <si>
    <t>XLOOKUP("Ан*",Данные!A2:A11,Данные!B2:B11,,2)</t>
  </si>
  <si>
    <t>=ПРОСМОТРX("Ан*";Данные!A2:A11;Данные!B2:B11;;2)</t>
  </si>
  <si>
    <t>XMATCH(1000,Данные!C2:C11,1)</t>
  </si>
  <si>
    <t>=ПОИСКПОЗX(1000;Данные!C2:C11;1)</t>
  </si>
  <si>
    <t>LOOKUP("Мария",Данные!A2:A11)</t>
  </si>
  <si>
    <t>=ПРОСМОТР("Мария";Данные!A2:A11)</t>
  </si>
  <si>
    <t>HLOOKUP("Кол",Данные!A1:H11,4)</t>
  </si>
  <si>
    <t>=ГПР("Кол";Данные!A1:H11;4)</t>
  </si>
  <si>
    <t>INDEX(XLOOKUP("Олег",Данные!A2:A11,Данные!B2:C11),2)</t>
  </si>
  <si>
    <t>=ИНДЕКС(ПРОСМОТРX("Олег";Данные!A2:A11;Данные!B2:C11);2)</t>
  </si>
  <si>
    <t>CHOOSE(3,1,2,3,4)</t>
  </si>
  <si>
    <t>=ВЫБОР(3;1;2;3;4)</t>
  </si>
  <si>
    <t>ADDRESS(5,28,2)</t>
  </si>
  <si>
    <t>=АДРЕС(5;28;2)</t>
  </si>
  <si>
    <t>ADDRESS(5,28,3,FALSE)</t>
  </si>
  <si>
    <t>=АДРЕС(5;28;3;ЛОЖЬ)</t>
  </si>
  <si>
    <t>ADDRESS(1,1,1,TRUE,"Лист 2")</t>
  </si>
  <si>
    <t>=АДРЕС(1;1;1;ИСТИНА;"Лист 2")</t>
  </si>
  <si>
    <t>ROWS(OFFSET(Данные!A1,2,1,4,3))</t>
  </si>
  <si>
    <t>=ЧСТРОК(СМЕЩ(Данные!A1;2;1;4;3))</t>
  </si>
  <si>
    <t>SUM(OFFSET(Данные!C2:C4,2,0))</t>
  </si>
  <si>
    <t>=СУММ(СМЕЩ(Данные!C2:C4;2;0))</t>
  </si>
  <si>
    <t>INDIRECT("Ставка")*10</t>
  </si>
  <si>
    <t>=ДВССЫЛ("Ставка")*10</t>
  </si>
  <si>
    <t>SUM(ROW(Данные!A1:A3))</t>
  </si>
  <si>
    <t>=СУММ(СТРОКА(Данные!A1:A3))</t>
  </si>
  <si>
    <t>COLUMN()</t>
  </si>
  <si>
    <t>=СТОЛБЕЦ()</t>
  </si>
  <si>
    <t>ROW()</t>
  </si>
  <si>
    <t>=СТРОКА()</t>
  </si>
  <si>
    <t>RANK.AVG(980,Данные!C2:C11)</t>
  </si>
  <si>
    <t>=РАНГ.СР(980;Данные!C2:C11)</t>
  </si>
  <si>
    <t>RANK.EQ(1200,Данные!C2:C11)</t>
  </si>
  <si>
    <t>=РАНГ.РВ(1200;Данные!C2:C11)</t>
  </si>
  <si>
    <t>SEARCH("с","Сумма",2)</t>
  </si>
  <si>
    <t>=ПОИСК("с";"Сумма";2)</t>
  </si>
  <si>
    <t>SEARCH("~*","a*b")</t>
  </si>
  <si>
    <t>=ПОИСК("~*";"a*b")</t>
  </si>
  <si>
    <t>REPLACE("Привет",1,1,"п")</t>
  </si>
  <si>
    <t>=ЗАМЕНИТЬ("Привет";1;1;"п")</t>
  </si>
  <si>
    <t>PROPER("o'neil-смит ИВАНОВ")</t>
  </si>
  <si>
    <t>=ПРОПНАЧ("o'neil-смит ИВАНОВ")</t>
  </si>
  <si>
    <t>CHAR(200)</t>
  </si>
  <si>
    <t>=СИМВОЛ(200)</t>
  </si>
  <si>
    <t>CODE("И")</t>
  </si>
  <si>
    <t>=КОДСИМВ("И")</t>
  </si>
  <si>
    <t>CODE("€")</t>
  </si>
  <si>
    <t>=КОДСИМВ("€")</t>
  </si>
  <si>
    <t>TEXTJOIN({"-","+"},TRUE,1,2,3,4)</t>
  </si>
  <si>
    <t>=ОБЪЕДИНИТЬ({"-";"+"};ИСТИНА;1;2;3;4)</t>
  </si>
  <si>
    <t>FIXED(-1234.567,-2)</t>
  </si>
  <si>
    <t>=ФИКСИРОВАННЫЙ(-1234,567;-2)</t>
  </si>
  <si>
    <t>FIXED(1234.567,1,TRUE)</t>
  </si>
  <si>
    <t>=ФИКСИРОВАННЫЙ(1234,567;1;ИСТИНА)</t>
  </si>
  <si>
    <t>DOLLAR(-1234.567,1)</t>
  </si>
  <si>
    <t>=РУБЛЬ(-1234,567;1)</t>
  </si>
  <si>
    <t>NUMBERVALUE("12,5%")</t>
  </si>
  <si>
    <t>=ЧЗНАЧ("12,5%")</t>
  </si>
  <si>
    <t>TEXT(0.5,"ч:мм")</t>
  </si>
  <si>
    <t>=ТЕКСТ(0,5;"ч:мм")</t>
  </si>
  <si>
    <t>TEXT(46301.75,"ДД.ММ.ГГ ч:мм")</t>
  </si>
  <si>
    <t>=ТЕКСТ(46301,75;"ДД.ММ.ГГ ч:мм")</t>
  </si>
  <si>
    <t>TEXT(1234.5,"0,0")</t>
  </si>
  <si>
    <t>=ТЕКСТ(1234,5;"0,0")</t>
  </si>
  <si>
    <t>TEXT(-5,"0;(0)")</t>
  </si>
  <si>
    <t>=ТЕКСТ(-5;"0;(0)")</t>
  </si>
  <si>
    <t>TEXT(46301,"ДДД")</t>
  </si>
  <si>
    <t>=ТЕКСТ(46301;"ДДД")</t>
  </si>
  <si>
    <t>TEXT(0.123,"0,0%")</t>
  </si>
  <si>
    <t>=ТЕКСТ(0,123;"0,0%")</t>
  </si>
  <si>
    <t>LARGE(Данные!C2:C11,1)</t>
  </si>
  <si>
    <t>=НАИБОЛЬШИЙ(Данные!C2:C11;1)</t>
  </si>
  <si>
    <t>SMALL(Данные!E2:E11,10)</t>
  </si>
  <si>
    <t>=НАИМЕНЬШИЙ(Данные!E2:E11;10)</t>
  </si>
  <si>
    <t>MODE(1,2,2,3,3)</t>
  </si>
  <si>
    <t>=МОДА(1;2;2;3;3)</t>
  </si>
  <si>
    <t>PERCENTRANK(Данные!C2:C11,1000)</t>
  </si>
  <si>
    <t>=ПРОЦЕНТРАНГ(Данные!C2:C11;1000)</t>
  </si>
  <si>
    <t>PERCENTRANK(Данные!C2:C11,980,5)</t>
  </si>
  <si>
    <t>=ПРОЦЕНТРАНГ(Данные!C2:C11;980;5)</t>
  </si>
  <si>
    <t>QUARTILE(Данные!C2:C11,0)</t>
  </si>
  <si>
    <t>=КВАРТИЛЬ(Данные!C2:C11;0)</t>
  </si>
  <si>
    <t>QUARTILE(Данные!C2:C11,4)</t>
  </si>
  <si>
    <t>=КВАРТИЛЬ(Данные!C2:C11;4)</t>
  </si>
  <si>
    <t>PERCENTILE(Данные!E2:E11,0.25)</t>
  </si>
  <si>
    <t>=ПЕРСЕНТИЛЬ(Данные!E2:E11;0,25)</t>
  </si>
  <si>
    <t>NORM.S.INV(0.975)</t>
  </si>
  <si>
    <t>=НОРМ.СТ.ОБР(0,975)</t>
  </si>
  <si>
    <t>NORM.DIST(1,0,1,FALSE)</t>
  </si>
  <si>
    <t>=НОРМ.РАСП(1;0;1;ЛОЖЬ)</t>
  </si>
  <si>
    <t>NORM.INV(0.001,10,2)</t>
  </si>
  <si>
    <t>=НОРМ.ОБР(0,001;10;2)</t>
  </si>
  <si>
    <t>SUM(FREQUENCY(Данные!E2:E11,{2,4}))</t>
  </si>
  <si>
    <t>=СУММ(ЧАСТОТА(Данные!E2:E11;{2;4}))</t>
  </si>
  <si>
    <t>GEOMEAN(1,2,4,8)</t>
  </si>
  <si>
    <t>=СРГЕОМ(1;2;4;8)</t>
  </si>
  <si>
    <t>SUBTOTAL(1,Данные!C2:C11)</t>
  </si>
  <si>
    <t>=ПРОМЕЖУТОЧНЫЕ.ИТОГИ(1;Данные!C2:C11)</t>
  </si>
  <si>
    <t>SUBTOTAL(2,Данные!A1:C11)</t>
  </si>
  <si>
    <t>=ПРОМЕЖУТОЧНЫЕ.ИТОГИ(2;Данные!A1:C11)</t>
  </si>
  <si>
    <t>SUBTOTAL(104,Данные!C2:C11)</t>
  </si>
  <si>
    <t>=ПРОМЕЖУТОЧНЫЕ.ИТОГИ(104;Данные!C2:C11)</t>
  </si>
  <si>
    <t>AGGREGATE(14,6,Данные!G2:G11,1)</t>
  </si>
  <si>
    <t>=АГРЕГАТ(14;6;Данные!G2:G11;1)</t>
  </si>
  <si>
    <t>AGGREGATE(4,6,Данные!G2:G11)</t>
  </si>
  <si>
    <t>=АГРЕГАТ(4;6;Данные!G2:G11)</t>
  </si>
  <si>
    <t>COUNTIFS(Данные!A2:A11,"*а",Данные!E2:E11,"&lt;5")</t>
  </si>
  <si>
    <t>=СЧЁТЕСЛИМН(Данные!A2:A11;"*а";Данные!E2:E11;"&lt;5")</t>
  </si>
  <si>
    <t>SUMIFS(Данные!C2:C11,Данные!D2:D11,"&gt;="&amp;DATE(2026,1,1))</t>
  </si>
  <si>
    <t>=СУММЕСЛИМН(Данные!C2:C11;Данные!D2:D11;"&gt;="&amp;ДАТА(2026;1;1))</t>
  </si>
  <si>
    <t>MAXIFS(Данные!C2:C11,Данные!B2:B11,"Нет")</t>
  </si>
  <si>
    <t>=МАКСЕСЛИ(Данные!C2:C11;Данные!B2:B11;"Нет")</t>
  </si>
  <si>
    <t>AVERAGEIFS(Данные!C2:C11,Данные!B2:B11,"Нет")</t>
  </si>
  <si>
    <t>=СРЗНАЧЕСЛИМН(Данные!C2:C11;Данные!B2:B11;"Нет")</t>
  </si>
  <si>
    <t>PMT(0,12,1200)</t>
  </si>
  <si>
    <t>=ПЛТ(0;12;1200)</t>
  </si>
  <si>
    <t>FV(0.01,12,-100,-1000,1)</t>
  </si>
  <si>
    <t>=БС(0,01;12;-100;-1000;1)</t>
  </si>
  <si>
    <t>PV(0,10,-100)</t>
  </si>
  <si>
    <t>=ПС(0;10;-100)</t>
  </si>
  <si>
    <t>NPER(0,-100,1000)</t>
  </si>
  <si>
    <t>=КПЕР(0;-100;1000)</t>
  </si>
  <si>
    <t>IPMT(0.01,3,12,1000,0,1)</t>
  </si>
  <si>
    <t>=ПРПЛТ(0,01;3;12;1000;0;1)</t>
  </si>
  <si>
    <t>PPMT(0.01,12,12,1000)</t>
  </si>
  <si>
    <t>=ОСПЛТ(0,01;12;12;1000)</t>
  </si>
  <si>
    <t>RATE(10,-100,800,0,1)</t>
  </si>
  <si>
    <t>=СТАВКА(10;-100;800;0;1)</t>
  </si>
  <si>
    <t>NPV(0.08,Данные!C2:C5)</t>
  </si>
  <si>
    <t>=ЧПС(0,08;Данные!C2:C5)</t>
  </si>
  <si>
    <t>IRR({-500,100,200,300},0.2)</t>
  </si>
  <si>
    <t>=ВСД({-500;100;200;300};0,2)</t>
  </si>
  <si>
    <t>DB(10000,1000,5,6,7)</t>
  </si>
  <si>
    <t>=ФУО(10000;1000;5;6;7)</t>
  </si>
  <si>
    <t>DDB(10000,1000,5,5)</t>
  </si>
  <si>
    <t>=ДДОБ(10000;1000;5;5)</t>
  </si>
  <si>
    <t>SYD(10000,1000,5,5)</t>
  </si>
  <si>
    <t>=АСЧ(10000;1000;5;5)</t>
  </si>
  <si>
    <t>ISEVEN(-3.5)</t>
  </si>
  <si>
    <t>=ЕЧЁТН(-3,5)</t>
  </si>
  <si>
    <t>ISODD(5.9)</t>
  </si>
  <si>
    <t>=ЕНЕЧЁТ(5,9)</t>
  </si>
  <si>
    <t>N("7")</t>
  </si>
  <si>
    <t>=Ч("7")</t>
  </si>
  <si>
    <t>N(TRUE)</t>
  </si>
  <si>
    <t>=Ч(ИСТИНА)</t>
  </si>
  <si>
    <t>TYPE({1,2})</t>
  </si>
  <si>
    <t>=ТИП({1;2})</t>
  </si>
  <si>
    <t>TYPE(TRUE)</t>
  </si>
  <si>
    <t>=ТИП(ИСТИНА)</t>
  </si>
  <si>
    <t>ERROR.TYPE(#N/A)</t>
  </si>
  <si>
    <t>=ТИП.ОШИБКИ(#Н/Д)</t>
  </si>
  <si>
    <t>SHEET(Кв2!A1)</t>
  </si>
  <si>
    <t>=ЛИСТ(Кв2!A1)</t>
  </si>
  <si>
    <t>SHEET("Кв3")</t>
  </si>
  <si>
    <t>=ЛИСТ("Кв3")</t>
  </si>
  <si>
    <t>CELL("col",Данные!C5)</t>
  </si>
  <si>
    <t>=ЯЧЕЙКА("col";Данные!C5)</t>
  </si>
  <si>
    <t>CELL("type",Данные!A1)</t>
  </si>
  <si>
    <t>=ЯЧЕЙКА("type";Данные!A1)</t>
  </si>
  <si>
    <t>CELL("contents",Данные!C3)</t>
  </si>
  <si>
    <t>=ЯЧЕЙКА("contents";Данные!C3)</t>
  </si>
  <si>
    <t>LET(a,Данные!C2:C11,SUM(a)/COUNT(a))</t>
  </si>
  <si>
    <t>=LET(a;Данные!C2:C11;СУММ(a)/СЧЁТ(a))</t>
  </si>
  <si>
    <t>IFS(FALSE,1)</t>
  </si>
  <si>
    <t>=ЕСЛИМН(ЛОЖЬ;1)</t>
  </si>
  <si>
    <t>SWITCH("б","а",1,"Б",2)</t>
  </si>
  <si>
    <t>=ПЕРЕКЛЮЧ("б";"а";1;"Б";2)</t>
  </si>
  <si>
    <t>XOR(1,0)</t>
  </si>
  <si>
    <t>=ИСКЛИЛИ(1;0)</t>
  </si>
  <si>
    <t>IFNA(VLOOKUP("Нет",Данные!A2:C11,3,0),0)</t>
  </si>
  <si>
    <t>=ЕСНД(ВПР("Нет";Данные!A2:C11;3;0);0)</t>
  </si>
  <si>
    <t>Пакет A: математика, системы счисления, базы данных, статистика, текст</t>
  </si>
  <si>
    <t>ACOSH(2)</t>
  </si>
  <si>
    <t>=ACOSH(2)</t>
  </si>
  <si>
    <t>ASINH(1)</t>
  </si>
  <si>
    <t>=ASINH(1)</t>
  </si>
  <si>
    <t>ATANH(0.5)</t>
  </si>
  <si>
    <t>=ATANH(0,5)</t>
  </si>
  <si>
    <t>ACOT(2)</t>
  </si>
  <si>
    <t>=ACOT(2)</t>
  </si>
  <si>
    <t>ACOTH(3)</t>
  </si>
  <si>
    <t>=ACOTH(3)</t>
  </si>
  <si>
    <t>COT(1)</t>
  </si>
  <si>
    <t>=COT(1)</t>
  </si>
  <si>
    <t>COTH(1)</t>
  </si>
  <si>
    <t>=COTH(1)</t>
  </si>
  <si>
    <t>CSC(1)</t>
  </si>
  <si>
    <t>=CSC(1)</t>
  </si>
  <si>
    <t>CSCH(1)</t>
  </si>
  <si>
    <t>=CSCH(1)</t>
  </si>
  <si>
    <t>SEC(1)</t>
  </si>
  <si>
    <t>=SEC(1)</t>
  </si>
  <si>
    <t>SECH(1)</t>
  </si>
  <si>
    <t>=SECH(1)</t>
  </si>
  <si>
    <t>COMBINA(4,3)</t>
  </si>
  <si>
    <t>=ЧИСЛКОМБА(4;3)</t>
  </si>
  <si>
    <t>PERMUTATIONA(3,2)</t>
  </si>
  <si>
    <t>=ПЕРЕСТА(3;2)</t>
  </si>
  <si>
    <t>FACTDOUBLE(7)</t>
  </si>
  <si>
    <t>=ДВФАКТР(7)</t>
  </si>
  <si>
    <t>FACTDOUBLE(8)</t>
  </si>
  <si>
    <t>=ДВФАКТР(8)</t>
  </si>
  <si>
    <t>MULTINOMIAL(2,3,4)</t>
  </si>
  <si>
    <t>=МУЛЬТИНОМ(2;3;4)</t>
  </si>
  <si>
    <t>SERIESSUM(2,1,1,{1,2,3})</t>
  </si>
  <si>
    <t>=РЯД.СУММ(2;1;1;{1;2;3})</t>
  </si>
  <si>
    <t>MDETERM({1,2;3,4})</t>
  </si>
  <si>
    <t>=МОПРЕД({1;2:3;4})</t>
  </si>
  <si>
    <t>INDEX(MINVERSE({4,7;2,6}),2,1)</t>
  </si>
  <si>
    <t>=ИНДЕКС(МОБР({4;7:2;6});2;1)</t>
  </si>
  <si>
    <t>INDEX(MMULT({1,2;3,4},{5;6}),2)</t>
  </si>
  <si>
    <t>=ИНДЕКС(МУМНОЖ({1;2:3;4};{5:6});2)</t>
  </si>
  <si>
    <t>SUM(MUNIT(3))</t>
  </si>
  <si>
    <t>=СУММ(МЕДИН(3))</t>
  </si>
  <si>
    <t>BIN2DEC("1111111111")</t>
  </si>
  <si>
    <t>=ДВ.В.ДЕС("1111111111")</t>
  </si>
  <si>
    <t>BIN2DEC("101")</t>
  </si>
  <si>
    <t>=ДВ.В.ДЕС("101")</t>
  </si>
  <si>
    <t>BIN2HEX("11111011",4)</t>
  </si>
  <si>
    <t>=ДВ.В.ШЕСТН("11111011";4)</t>
  </si>
  <si>
    <t>BIN2OCT("1001")</t>
  </si>
  <si>
    <t>=ДВ.В.ВОСЬМ("1001")</t>
  </si>
  <si>
    <t>DEC2BIN(-5)</t>
  </si>
  <si>
    <t>=ДЕС.В.ДВ(-5)</t>
  </si>
  <si>
    <t>DEC2BIN(9,8)</t>
  </si>
  <si>
    <t>=ДЕС.В.ДВ(9;8)</t>
  </si>
  <si>
    <t>DEC2HEX(255)</t>
  </si>
  <si>
    <t>=ДЕС.В.ШЕСТН(255)</t>
  </si>
  <si>
    <t>DEC2HEX(-1)</t>
  </si>
  <si>
    <t>=ДЕС.В.ШЕСТН(-1)</t>
  </si>
  <si>
    <t>DEC2OCT(58,4)</t>
  </si>
  <si>
    <t>=ДЕС.В.ВОСЬМ(58;4)</t>
  </si>
  <si>
    <t>HEX2BIN("F",8)</t>
  </si>
  <si>
    <t>=ШЕСТН.В.ДВ("F";8)</t>
  </si>
  <si>
    <t>HEX2DEC("FFFFFFFFFF")</t>
  </si>
  <si>
    <t>=ШЕСТН.В.ДЕС("FFFFFFFFFF")</t>
  </si>
  <si>
    <t>HEX2OCT("3B")</t>
  </si>
  <si>
    <t>=ШЕСТН.В.ВОСЬМ("3B")</t>
  </si>
  <si>
    <t>OCT2BIN("3")</t>
  </si>
  <si>
    <t>=ВОСЬМ.В.ДВ("3")</t>
  </si>
  <si>
    <t>OCT2DEC("7777777533")</t>
  </si>
  <si>
    <t>=ВОСЬМ.В.ДЕС("7777777533")</t>
  </si>
  <si>
    <t>OCT2HEX("100")</t>
  </si>
  <si>
    <t>=ВОСЬМ.В.ШЕСТН("100")</t>
  </si>
  <si>
    <t>DEC2BIN(600)</t>
  </si>
  <si>
    <t>=ДЕС.В.ДВ(600)</t>
  </si>
  <si>
    <t>BITAND(13,25)</t>
  </si>
  <si>
    <t>=БИТ.И(13;25)</t>
  </si>
  <si>
    <t>BITOR(13,25)</t>
  </si>
  <si>
    <t>=БИТ.ИЛИ(13;25)</t>
  </si>
  <si>
    <t>BITXOR(13,25)</t>
  </si>
  <si>
    <t>=БИТ.ИСКЛИЛИ(13;25)</t>
  </si>
  <si>
    <t>BITLSHIFT(4,2)</t>
  </si>
  <si>
    <t>=БИТ.СДВИГЛ(4;2)</t>
  </si>
  <si>
    <t>BITRSHIFT(13,2)</t>
  </si>
  <si>
    <t>=БИТ.СДВИГП(13;2)</t>
  </si>
  <si>
    <t>DELTA(5,5)</t>
  </si>
  <si>
    <t>=ДЕЛЬТА(5;5)</t>
  </si>
  <si>
    <t>DELTA(5)</t>
  </si>
  <si>
    <t>=ДЕЛЬТА(5)</t>
  </si>
  <si>
    <t>GESTEP(5,4)</t>
  </si>
  <si>
    <t>=ПОРОГ(5;4)</t>
  </si>
  <si>
    <t>GESTEP(-1)</t>
  </si>
  <si>
    <t>=ПОРОГ(-1)</t>
  </si>
  <si>
    <t>ERF(0.5)</t>
  </si>
  <si>
    <t>=ФОШ(0,5)</t>
  </si>
  <si>
    <t>ERF(0,1.5)</t>
  </si>
  <si>
    <t>=ФОШ(0;1,5)</t>
  </si>
  <si>
    <t>ERF.PRECISE(-1)</t>
  </si>
  <si>
    <t>=ФОШ.ТОЧН(-1)</t>
  </si>
  <si>
    <t>ERFC(1)</t>
  </si>
  <si>
    <t>=ДФОШ(1)</t>
  </si>
  <si>
    <t>ERFC.PRECISE(0.2)</t>
  </si>
  <si>
    <t>=ДФОШ.ТОЧН(0,2)</t>
  </si>
  <si>
    <t>ERF(3)</t>
  </si>
  <si>
    <t>=ФОШ(3)</t>
  </si>
  <si>
    <t>ERFC(4)</t>
  </si>
  <si>
    <t>=ДФОШ(4)</t>
  </si>
  <si>
    <t>DSUM(Данные!A1:H11,"Сумма",Данные!J1:K2)</t>
  </si>
  <si>
    <t>=БДСУММ(Данные!A1:H11;"Сумма";Данные!J1:K2)</t>
  </si>
  <si>
    <t>DSUM(Данные!A1:H11,3,Данные!L1:L3)</t>
  </si>
  <si>
    <t>=БДСУММ(Данные!A1:H11;3;Данные!L1:L3)</t>
  </si>
  <si>
    <t>DAVERAGE(Данные!A1:H11,"Кол",Данные!L1:L3)</t>
  </si>
  <si>
    <t>=ДСРЗНАЧ(Данные!A1:H11;"Кол";Данные!L1:L3)</t>
  </si>
  <si>
    <t>DCOUNT(Данные!A1:H11,"Сумма",Данные!J1:J2)</t>
  </si>
  <si>
    <t>=БСЧЁТ(Данные!A1:H11;"Сумма";Данные!J1:J2)</t>
  </si>
  <si>
    <t>DCOUNTA(Данные!A1:H11,"Имя",Данные!L1:L2)</t>
  </si>
  <si>
    <t>=БСЧЁТА(Данные!A1:H11;"Имя";Данные!L1:L2)</t>
  </si>
  <si>
    <t>DMAX(Данные!A1:H11,"Сумма",Данные!L1:L3)</t>
  </si>
  <si>
    <t>=ДМАКС(Данные!A1:H11;"Сумма";Данные!L1:L3)</t>
  </si>
  <si>
    <t>DMIN(Данные!A1:H11,"Сумма",Данные!J1:J2)</t>
  </si>
  <si>
    <t>=ДМИН(Данные!A1:H11;"Сумма";Данные!J1:J2)</t>
  </si>
  <si>
    <t>DPRODUCT(Данные!A1:H11,"Кол",Данные!J1:K2)</t>
  </si>
  <si>
    <t>=БДПРОИЗВЕД(Данные!A1:H11;"Кол";Данные!J1:K2)</t>
  </si>
  <si>
    <t>DGET(Данные!A1:H11,"Имя",Данные!J1:K2)</t>
  </si>
  <si>
    <t>=БИЗВЛЕЧЬ(Данные!A1:H11;"Имя";Данные!J1:K2)</t>
  </si>
  <si>
    <t>DSTDEV(Данные!A1:H11,"Сумма",Данные!L1:L3)</t>
  </si>
  <si>
    <t>=ДСТАНДОТКЛ(Данные!A1:H11;"Сумма";Данные!L1:L3)</t>
  </si>
  <si>
    <t>DSTDEVP(Данные!A1:H11,"Сумма",Данные!L1:L3)</t>
  </si>
  <si>
    <t>=ДСТАНДОТКЛП(Данные!A1:H11;"Сумма";Данные!L1:L3)</t>
  </si>
  <si>
    <t>DVAR(Данные!A1:H11,"Сумма",Данные!J1:J2)</t>
  </si>
  <si>
    <t>=БДДИСП(Данные!A1:H11;"Сумма";Данные!J1:J2)</t>
  </si>
  <si>
    <t>DVARP(Данные!A1:H11,"Сумма",Данные!J1:J2)</t>
  </si>
  <si>
    <t>=БДДИСПП(Данные!A1:H11;"Сумма";Данные!J1:J2)</t>
  </si>
  <si>
    <t>COVAR(Данные!C2:C11,Данные!E2:E11)</t>
  </si>
  <si>
    <t>=КОВАР(Данные!C2:C11;Данные!E2:E11)</t>
  </si>
  <si>
    <t>COVARIANCE.S(Данные!C2:C11,Данные!E2:E11)</t>
  </si>
  <si>
    <t>=КОВАРИАЦИЯ.В(Данные!C2:C11;Данные!E2:E11)</t>
  </si>
  <si>
    <t>PEARSON(Данные!C2:C11,Данные!E2:E11)</t>
  </si>
  <si>
    <t>=PEARSON(Данные!C2:C11;Данные!E2:E11)</t>
  </si>
  <si>
    <t>RSQ(Данные!C2:C11,Данные!E2:E11)</t>
  </si>
  <si>
    <t>=КВПИРСОН(Данные!C2:C11;Данные!E2:E11)</t>
  </si>
  <si>
    <t>STEYX(Данные!C2:C11,Данные!E2:E11)</t>
  </si>
  <si>
    <t>=СТОШYX(Данные!C2:C11;Данные!E2:E11)</t>
  </si>
  <si>
    <t>KURT(Данные!C2:C11)</t>
  </si>
  <si>
    <t>=ЭКСЦЕСС(Данные!C2:C11)</t>
  </si>
  <si>
    <t>SKEW(Данные!C2:C11)</t>
  </si>
  <si>
    <t>=СКОС(Данные!C2:C11)</t>
  </si>
  <si>
    <t>SKEW.P(Данные!C2:C11)</t>
  </si>
  <si>
    <t>=СКОС.Г(Данные!C2:C11)</t>
  </si>
  <si>
    <t>STANDARDIZE(1500,1178,1440)</t>
  </si>
  <si>
    <t>=НОРМАЛИЗАЦИЯ(1500;1178;1440)</t>
  </si>
  <si>
    <t>STDEVA(Данные!G2:G5)</t>
  </si>
  <si>
    <t>=СТАНДОТКЛОНА(Данные!G2:G5)</t>
  </si>
  <si>
    <t>STDEVPA(Данные!F2:F11)</t>
  </si>
  <si>
    <t>=СТАНДОТКЛОНПА(Данные!F2:F11)</t>
  </si>
  <si>
    <t>VARA(Данные!F2:F11)</t>
  </si>
  <si>
    <t>=ДИСПА(Данные!F2:F11)</t>
  </si>
  <si>
    <t>VARPA(1,TRUE,3)</t>
  </si>
  <si>
    <t>=ДИСПРА(1;ИСТИНА;3)</t>
  </si>
  <si>
    <t>TRIMMEAN(Данные!C2:C11,0.2)</t>
  </si>
  <si>
    <t>=УРЕЗСРЕДНЕЕ(Данные!C2:C11;0,2)</t>
  </si>
  <si>
    <t>FISHER(0.5)</t>
  </si>
  <si>
    <t>=ФИШЕР(0,5)</t>
  </si>
  <si>
    <t>FISHERINV(0.5)</t>
  </si>
  <si>
    <t>=ФИШЕРОБР(0,5)</t>
  </si>
  <si>
    <t>GAUSS(1)</t>
  </si>
  <si>
    <t>=ГАУСС(1)</t>
  </si>
  <si>
    <t>PHI(0.75)</t>
  </si>
  <si>
    <t>=ФИ(0,75)</t>
  </si>
  <si>
    <t>PROB({1,2,3,4},{0.1,0.2,0.3,0.4},2,3)</t>
  </si>
  <si>
    <t>=ВЕРОЯТНОСТЬ({1;2;3;4};{0,1;0,2;0,3;0,4};2;3)</t>
  </si>
  <si>
    <t>PROB({1,2,3,4},{0.1,0.2,0.3,0.4},4)</t>
  </si>
  <si>
    <t>=ВЕРОЯТНОСТЬ({1;2;3;4};{0,1;0,2;0,3;0,4};4)</t>
  </si>
  <si>
    <t>INDEX(MODE.MULT(1,2,2,3,3,4),2)</t>
  </si>
  <si>
    <t>=ИНДЕКС(МОДА.НСК(1;2;2;3;3;4);2)</t>
  </si>
  <si>
    <t>PERCENTRANK.EXC(Данные!C2:C11,980)</t>
  </si>
  <si>
    <t>=ПРОЦЕНТРАНГ.ИСКЛ(Данные!C2:C11;980)</t>
  </si>
  <si>
    <t>CONFIDENCE.NORM(0.05,2.5,50)</t>
  </si>
  <si>
    <t>=ДОВЕРИТ.НОРМ(0,05;2,5;50)</t>
  </si>
  <si>
    <t>CONFIDENCE(0.05,2.5,50)</t>
  </si>
  <si>
    <t>=ДОВЕРИТ(0,05;2,5;50)</t>
  </si>
  <si>
    <t>INDEX(LINEST(Данные!C2:C11,Данные!E2:E11),1)</t>
  </si>
  <si>
    <t>=ИНДЕКС(ЛИНЕЙН(Данные!C2:C11;Данные!E2:E11);1)</t>
  </si>
  <si>
    <t>INDEX(LINEST(Данные!C2:C11,Данные!E2:E11),2)</t>
  </si>
  <si>
    <t>=ИНДЕКС(ЛИНЕЙН(Данные!C2:C11;Данные!E2:E11);2)</t>
  </si>
  <si>
    <t>INDEX(LINEST(Данные!C2:C11,Данные!E2:E11,TRUE,TRUE),3,1)</t>
  </si>
  <si>
    <t>=ИНДЕКС(ЛИНЕЙН(Данные!C2:C11;Данные!E2:E11;ИСТИНА;ИСТИНА);3;1)</t>
  </si>
  <si>
    <t>INDEX(LINEST(Данные!C2:C11,Данные!E2:E11,TRUE,TRUE),2,1)</t>
  </si>
  <si>
    <t>=ИНДЕКС(ЛИНЕЙН(Данные!C2:C11;Данные!E2:E11;ИСТИНА;ИСТИНА);2;1)</t>
  </si>
  <si>
    <t>INDEX(LINEST(Данные!C2:C11,Данные!D2:E11),1,1)</t>
  </si>
  <si>
    <t>=ИНДЕКС(ЛИНЕЙН(Данные!C2:C11;Данные!D2:E11);1;1)</t>
  </si>
  <si>
    <t>INDEX(LINEST(Данные!C2:C11,Данные!D2:E11),1,3)</t>
  </si>
  <si>
    <t>=ИНДЕКС(ЛИНЕЙН(Данные!C2:C11;Данные!D2:E11);1;3)</t>
  </si>
  <si>
    <t>INDEX(LINEST({1,3,5,7}),1)</t>
  </si>
  <si>
    <t>=ИНДЕКС(ЛИНЕЙН({1;3;5;7});1)</t>
  </si>
  <si>
    <t>INDEX(LINEST(Данные!C2:C11,Данные!E2:E11,FALSE),1)</t>
  </si>
  <si>
    <t>=ИНДЕКС(ЛИНЕЙН(Данные!C2:C11;Данные!E2:E11;ЛОЖЬ);1)</t>
  </si>
  <si>
    <t>INDEX(LINEST(Данные!C2:C11,Данные!E2:E11,TRUE,TRUE),4,1)</t>
  </si>
  <si>
    <t>=ИНДЕКС(ЛИНЕЙН(Данные!C2:C11;Данные!E2:E11;ИСТИНА;ИСТИНА);4;1)</t>
  </si>
  <si>
    <t>INDEX(LOGEST({2,4,8,16}),1)</t>
  </si>
  <si>
    <t>=ИНДЕКС(ЛГРФПРИБЛ({2;4;8;16});1)</t>
  </si>
  <si>
    <t>INDEX(LOGEST(Данные!E2:E11,Данные!D2:D11),2)</t>
  </si>
  <si>
    <t>=ИНДЕКС(ЛГРФПРИБЛ(Данные!E2:E11;Данные!D2:D11);2)</t>
  </si>
  <si>
    <t>INDEX(GROWTH({2,4,8,16},{1,2,3,4},{5}),1)</t>
  </si>
  <si>
    <t>=ИНДЕКС(РОСТ({2;4;8;16};{1;2;3;4};{5});1)</t>
  </si>
  <si>
    <t>INDEX(GROWTH(Данные!E2:E6),3)</t>
  </si>
  <si>
    <t>=ИНДЕКС(РОСТ(Данные!E2:E6);3)</t>
  </si>
  <si>
    <t>LEFTB("Привет",3)</t>
  </si>
  <si>
    <t>=ЛЕВБ("Привет";3)</t>
  </si>
  <si>
    <t>LENB("Привет")</t>
  </si>
  <si>
    <t>=ДЛИНБ("Привет")</t>
  </si>
  <si>
    <t>MIDB("абвгд",2,2)</t>
  </si>
  <si>
    <t>=ПСТРБ("абвгд";2;2)</t>
  </si>
  <si>
    <t>FINDB("г","абвгд")</t>
  </si>
  <si>
    <t>=НАЙТИБ("г";"абвгд")</t>
  </si>
  <si>
    <t>ASC("ＡＢＣ")</t>
  </si>
  <si>
    <t>=ASC("ＡＢＣ")</t>
  </si>
  <si>
    <t>DBCS("ABC")</t>
  </si>
  <si>
    <t>=БДЦС("ABC")</t>
  </si>
  <si>
    <t>USDOLLAR(1234.567)</t>
  </si>
  <si>
    <t>=ДОЛЛСША(1234,567)</t>
  </si>
  <si>
    <t>USDOLLAR(-1234.567,1)</t>
  </si>
  <si>
    <t>=ДОЛЛСША(-1234,567;1)</t>
  </si>
  <si>
    <t>VALUETOTEXT("текст",1)</t>
  </si>
  <si>
    <t>=ЗНАЧЕНИЕВТЕКСТ("текст";1)</t>
  </si>
  <si>
    <t>VALUETOTEXT(1.5)</t>
  </si>
  <si>
    <t>=ЗНАЧЕНИЕВТЕКСТ(1,5)</t>
  </si>
  <si>
    <t>VALUETOTEXT(TRUE)</t>
  </si>
  <si>
    <t>=ЗНАЧЕНИЕВТЕКСТ(ИСТИНА)</t>
  </si>
  <si>
    <t>ARRAYTOTEXT({1,2;"a",TRUE})</t>
  </si>
  <si>
    <t>=МАССИВВТЕКСТ({1;2:"a";ИСТИНА})</t>
  </si>
  <si>
    <t>ARRAYTOTEXT({1,2;"a",TRUE},1)</t>
  </si>
  <si>
    <t>=МАССИВВТЕКСТ({1;2:"a";ИСТИНА};1)</t>
  </si>
  <si>
    <t>BAHTTEXT(1234)</t>
  </si>
  <si>
    <t>=БАТТЕКСТ(1234)</t>
  </si>
  <si>
    <t>BAHTTEXT(21.25)</t>
  </si>
  <si>
    <t>=БАТТЕКСТ(21,25)</t>
  </si>
  <si>
    <t>BAHTTEXT(1000000)</t>
  </si>
  <si>
    <t>=БАТТЕКСТ(1000000)</t>
  </si>
  <si>
    <t>BAHTTEXT(11)</t>
  </si>
  <si>
    <t>=БАТТЕКСТ(11)</t>
  </si>
  <si>
    <t>ENCODEURL("http://сайт.рф/путь? a=1&amp;b=(2)")</t>
  </si>
  <si>
    <t>=КОДИР.URL("http://сайт.рф/путь? a=1&amp;b=(2)")</t>
  </si>
  <si>
    <t>FILTERXML("&lt;a&gt;&lt;b&gt;1&lt;/b&gt;&lt;b&gt;2&lt;/b&gt;&lt;/a&gt;","//b[2]")</t>
  </si>
  <si>
    <t>=ФИЛЬТР.XML("&lt;a&gt;&lt;b&gt;1&lt;/b&gt;&lt;b&gt;2&lt;/b&gt;&lt;/a&gt;";"//b[2]")</t>
  </si>
  <si>
    <t>FILTERXML("&lt;a&gt;&lt;b x='7'&gt;1&lt;/b&gt;&lt;/a&gt;","//b/@x")</t>
  </si>
  <si>
    <t>=ФИЛЬТР.XML("&lt;a&gt;&lt;b x='7'&gt;1&lt;/b&gt;&lt;/a&gt;";"//b/@x")</t>
  </si>
  <si>
    <t>INFO("system")</t>
  </si>
  <si>
    <t>=ИНФОРМ("system")</t>
  </si>
  <si>
    <t>AREAS(Данные!A1:C3)</t>
  </si>
  <si>
    <t>=ОБЛАСТИ(Данные!A1:C3)</t>
  </si>
  <si>
    <t>ISERROR(GETPIVOTDATA("Сумма",Данные!A1))</t>
  </si>
  <si>
    <t>=ЕОШИБКА(ПОЛУЧИТЬ.ДАННЫЕ.СВОДНОЙ.ТАБЛИЦЫ("Сумма";Данные!A1))</t>
  </si>
  <si>
    <t>ERROR.TYPE(CUBEVALUE("x"))</t>
  </si>
  <si>
    <t>=ТИП.ОШИБКИ(КУБЗНАЧЕНИЕ("x"))</t>
  </si>
  <si>
    <t>ERROR.TYPE(RTD("x",,"y"))</t>
  </si>
  <si>
    <t>=ТИП.ОШИБКИ(ДРВ("x";;"y"))</t>
  </si>
  <si>
    <t>Пакет B: распределения и тесты</t>
  </si>
  <si>
    <t>BETA.DIST(0.4,2,3,TRUE)</t>
  </si>
  <si>
    <t>=БЕТА.РАСП(0,4;2;3;ИСТИНА)</t>
  </si>
  <si>
    <t>BETA.DIST(0.4,2,3,FALSE)</t>
  </si>
  <si>
    <t>=БЕТА.РАСП(0,4;2;3;ЛОЖЬ)</t>
  </si>
  <si>
    <t>BETA.DIST(2,8,10,TRUE,1,3)</t>
  </si>
  <si>
    <t>=БЕТА.РАСП(2;8;10;ИСТИНА;1;3)</t>
  </si>
  <si>
    <t>BETADIST(2,8,10,1,3)</t>
  </si>
  <si>
    <t>=БЕТАРАСП(2;8;10;1;3)</t>
  </si>
  <si>
    <t>BETA.INV(0.685470581,8,10,1,3)</t>
  </si>
  <si>
    <t>=БЕТА.ОБР(0,685470581;8;10;1;3)</t>
  </si>
  <si>
    <t>BETAINV(0.2,4,5)</t>
  </si>
  <si>
    <t>=БЕТАОБР(0,2;4;5)</t>
  </si>
  <si>
    <t>BINOM.DIST(6,10,0.5,FALSE)</t>
  </si>
  <si>
    <t>=БИНОМ.РАСП(6;10;0,5;ЛОЖЬ)</t>
  </si>
  <si>
    <t>BINOM.DIST(6,10,0.5,TRUE)</t>
  </si>
  <si>
    <t>=БИНОМ.РАСП(6;10;0,5;ИСТИНА)</t>
  </si>
  <si>
    <t>BINOMDIST(3,8,0.25,TRUE)</t>
  </si>
  <si>
    <t>=БИНОМРАСП(3;8;0,25;ИСТИНА)</t>
  </si>
  <si>
    <t>BINOM.DIST.RANGE(60,0.75,48)</t>
  </si>
  <si>
    <t>=БИНОМ.РАСП.ДИАП(60;0,75;48)</t>
  </si>
  <si>
    <t>BINOM.DIST.RANGE(60,0.75,45,50)</t>
  </si>
  <si>
    <t>=БИНОМ.РАСП.ДИАП(60;0,75;45;50)</t>
  </si>
  <si>
    <t>BINOM.INV(6,0.5,0.75)</t>
  </si>
  <si>
    <t>=БИНОМ.ОБР(6;0,5;0,75)</t>
  </si>
  <si>
    <t>CRITBINOM(10,0.3,0.5)</t>
  </si>
  <si>
    <t>=КРИТБИНОМ(10;0,3;0,5)</t>
  </si>
  <si>
    <t>CHISQ.DIST(0.5,1,TRUE)</t>
  </si>
  <si>
    <t>=ХИ2.РАСП(0,5;1;ИСТИНА)</t>
  </si>
  <si>
    <t>CHISQ.DIST(2,3,FALSE)</t>
  </si>
  <si>
    <t>=ХИ2.РАСП(2;3;ЛОЖЬ)</t>
  </si>
  <si>
    <t>CHISQ.DIST.RT(18.307,10)</t>
  </si>
  <si>
    <t>=ХИ2.РАСП.ПХ(18,307;10)</t>
  </si>
  <si>
    <t>CHIDIST(18.307,10)</t>
  </si>
  <si>
    <t>=ХИ2РАСП(18,307;10)</t>
  </si>
  <si>
    <t>CHISQ.INV(0.93,1)</t>
  </si>
  <si>
    <t>=ХИ2.ОБР(0,93;1)</t>
  </si>
  <si>
    <t>CHISQ.INV(0.6,2)</t>
  </si>
  <si>
    <t>=ХИ2.ОБР(0,6;2)</t>
  </si>
  <si>
    <t>CHISQ.INV.RT(0.050001,10)</t>
  </si>
  <si>
    <t>=ХИ2.ОБР.ПХ(0,050001;10)</t>
  </si>
  <si>
    <t>CHIINV(0.05,10)</t>
  </si>
  <si>
    <t>=ХИ2ОБР(0,05;10)</t>
  </si>
  <si>
    <t>CHISQ.TEST({58,35;11,25;10,23},{45.35,47.65;17.56,18.44;16.09,16.91})</t>
  </si>
  <si>
    <t>=ХИ2.ТЕСТ({58;35:11;25:10;23};{45,35;47,65:17,56;18,44:16,09;16,91})</t>
  </si>
  <si>
    <t>CHITEST({10,20,30},{15,20,25})</t>
  </si>
  <si>
    <t>=ХИ2ТЕСТ({10;20;30};{15;20;25})</t>
  </si>
  <si>
    <t>EXPON.DIST(0.2,10,TRUE)</t>
  </si>
  <si>
    <t>=ЭКСП.РАСП(0,2;10;ИСТИНА)</t>
  </si>
  <si>
    <t>EXPON.DIST(0.2,10,FALSE)</t>
  </si>
  <si>
    <t>=ЭКСП.РАСП(0,2;10;ЛОЖЬ)</t>
  </si>
  <si>
    <t>EXPONDIST(1,2,TRUE)</t>
  </si>
  <si>
    <t>=ЭКСПРАСП(1;2;ИСТИНА)</t>
  </si>
  <si>
    <t>F.DIST(15.2069,6,4,TRUE)</t>
  </si>
  <si>
    <t>=F.РАСП(15,2069;6;4;ИСТИНА)</t>
  </si>
  <si>
    <t>F.DIST(15.2069,6,4,FALSE)</t>
  </si>
  <si>
    <t>=F.РАСП(15,2069;6;4;ЛОЖЬ)</t>
  </si>
  <si>
    <t>F.DIST.RT(15.2069,6,4)</t>
  </si>
  <si>
    <t>=F.РАСП.ПХ(15,2069;6;4)</t>
  </si>
  <si>
    <t>FDIST(2,5,10)</t>
  </si>
  <si>
    <t>=FРАСП(2;5;10)</t>
  </si>
  <si>
    <t>F.INV(0.01,6,4)</t>
  </si>
  <si>
    <t>=F.ОБР(0,01;6;4)</t>
  </si>
  <si>
    <t>F.INV.RT(0.01,6,4)</t>
  </si>
  <si>
    <t>=F.ОБР.ПХ(0,01;6;4)</t>
  </si>
  <si>
    <t>FINV(0.05,3,20)</t>
  </si>
  <si>
    <t>=FРАСПОБР(0,05;3;20)</t>
  </si>
  <si>
    <t>F.TEST(Данные!C2:C11,Данные!E2:E11)</t>
  </si>
  <si>
    <t>=F.ТЕСТ(Данные!C2:C11;Данные!E2:E11)</t>
  </si>
  <si>
    <t>FTEST({6,7,9,15,21},{20,28,31,38,40})</t>
  </si>
  <si>
    <t>=ФТЕСТ({6;7;9;15;21};{20;28;31;38;40})</t>
  </si>
  <si>
    <t>GAMMA(2.5)</t>
  </si>
  <si>
    <t>=ГАММА(2,5)</t>
  </si>
  <si>
    <t>GAMMA(-0.75)</t>
  </si>
  <si>
    <t>=ГАММА(-0,75)</t>
  </si>
  <si>
    <t>GAMMA(0)</t>
  </si>
  <si>
    <t>=ГАММА(0)</t>
  </si>
  <si>
    <t>GAMMA(10)</t>
  </si>
  <si>
    <t>=ГАММА(10)</t>
  </si>
  <si>
    <t>GAMMA.DIST(10.00001131,9,2,FALSE)</t>
  </si>
  <si>
    <t>=ГАММА.РАСП(10,00001131;9;2;ЛОЖЬ)</t>
  </si>
  <si>
    <t>GAMMA.DIST(10.00001131,9,2,TRUE)</t>
  </si>
  <si>
    <t>=ГАММА.РАСП(10,00001131;9;2;ИСТИНА)</t>
  </si>
  <si>
    <t>GAMMADIST(3,2,1,TRUE)</t>
  </si>
  <si>
    <t>=ГАММАРАСП(3;2;1;ИСТИНА)</t>
  </si>
  <si>
    <t>GAMMA.INV(0.068094,9,2)</t>
  </si>
  <si>
    <t>=ГАММА.ОБР(0,068094;9;2)</t>
  </si>
  <si>
    <t>GAMMAINV(0.5,3,2)</t>
  </si>
  <si>
    <t>=ГАММАОБР(0,5;3;2)</t>
  </si>
  <si>
    <t>GAMMALN(4)</t>
  </si>
  <si>
    <t>=ГАММАНЛОГ(4)</t>
  </si>
  <si>
    <t>GAMMALN(0.5)</t>
  </si>
  <si>
    <t>=ГАММАНЛОГ(0,5)</t>
  </si>
  <si>
    <t>GAMMALN.PRECISE(100)</t>
  </si>
  <si>
    <t>=ГАММАНЛОГ.ТОЧН(100)</t>
  </si>
  <si>
    <t>HYPGEOM.DIST(1,4,8,20,TRUE)</t>
  </si>
  <si>
    <t>=ГИПЕРГЕОМ.РАСП(1;4;8;20;ИСТИНА)</t>
  </si>
  <si>
    <t>HYPGEOM.DIST(1,4,8,20,FALSE)</t>
  </si>
  <si>
    <t>=ГИПЕРГЕОМ.РАСП(1;4;8;20;ЛОЖЬ)</t>
  </si>
  <si>
    <t>HYPGEOMDIST(2,10,5,30)</t>
  </si>
  <si>
    <t>=ГИПЕРГЕОМЕТ(2;10;5;30)</t>
  </si>
  <si>
    <t>LOGNORM.DIST(4,3.5,1.2,TRUE)</t>
  </si>
  <si>
    <t>=ЛОГНОРМ.РАСП(4;3,5;1,2;ИСТИНА)</t>
  </si>
  <si>
    <t>LOGNORM.DIST(4,3.5,1.2,FALSE)</t>
  </si>
  <si>
    <t>=ЛОГНОРМ.РАСП(4;3,5;1,2;ЛОЖЬ)</t>
  </si>
  <si>
    <t>LOGNORMDIST(4,3.5,1.2)</t>
  </si>
  <si>
    <t>=ЛОГНОРМРАСП(4;3,5;1,2)</t>
  </si>
  <si>
    <t>LOGNORM.INV(0.039084,3.5,1.2)</t>
  </si>
  <si>
    <t>=ЛОГНОРМ.ОБР(0,039084;3,5;1,2)</t>
  </si>
  <si>
    <t>LOGINV(0.5,0,1)</t>
  </si>
  <si>
    <t>=ЛОГНОРМОБР(0,5;0;1)</t>
  </si>
  <si>
    <t>NEGBINOM.DIST(10,5,0.25,TRUE)</t>
  </si>
  <si>
    <t>=ОТРБИНОМ.РАСП(10;5;0,25;ИСТИНА)</t>
  </si>
  <si>
    <t>NEGBINOM.DIST(10,5,0.25,FALSE)</t>
  </si>
  <si>
    <t>=ОТРБИНОМ.РАСП(10;5;0,25;ЛОЖЬ)</t>
  </si>
  <si>
    <t>NEGBINOMDIST(3,2,0.5)</t>
  </si>
  <si>
    <t>=ОТРБИНОМРАСП(3;2;0,5)</t>
  </si>
  <si>
    <t>POISSON.DIST(2,5,TRUE)</t>
  </si>
  <si>
    <t>=ПУАССОН.РАСП(2;5;ИСТИНА)</t>
  </si>
  <si>
    <t>POISSON.DIST(2,5,FALSE)</t>
  </si>
  <si>
    <t>=ПУАССОН.РАСП(2;5;ЛОЖЬ)</t>
  </si>
  <si>
    <t>POISSON(10,7,TRUE)</t>
  </si>
  <si>
    <t>=ПУАССОН(10;7;ИСТИНА)</t>
  </si>
  <si>
    <t>T.DIST(60,1,TRUE)</t>
  </si>
  <si>
    <t>=СТЬЮДЕНТ.РАСП(60;1;ИСТИНА)</t>
  </si>
  <si>
    <t>T.DIST(8,3,FALSE)</t>
  </si>
  <si>
    <t>=СТЬЮДЕНТ.РАСП(8;3;ЛОЖЬ)</t>
  </si>
  <si>
    <t>T.DIST(-1.5,4,TRUE)</t>
  </si>
  <si>
    <t>=СТЬЮДЕНТ.РАСП(-1,5;4;ИСТИНА)</t>
  </si>
  <si>
    <t>T.DIST.2T(1.959999998,60)</t>
  </si>
  <si>
    <t>=СТЬЮДЕНТ.РАСП.2Х(1,959999998;60)</t>
  </si>
  <si>
    <t>T.DIST.RT(1.959999998,60)</t>
  </si>
  <si>
    <t>=СТЬЮДЕНТ.РАСП.ПХ(1,959999998;60)</t>
  </si>
  <si>
    <t>TDIST(1.96,60,2)</t>
  </si>
  <si>
    <t>=СТЬЮДРАСП(1,96;60;2)</t>
  </si>
  <si>
    <t>TDIST(1.96,60,1)</t>
  </si>
  <si>
    <t>=СТЬЮДРАСП(1,96;60;1)</t>
  </si>
  <si>
    <t>T.INV(0.75,2)</t>
  </si>
  <si>
    <t>=СТЬЮДЕНТ.ОБР(0,75;2)</t>
  </si>
  <si>
    <t>T.INV(0.05,10)</t>
  </si>
  <si>
    <t>=СТЬЮДЕНТ.ОБР(0,05;10)</t>
  </si>
  <si>
    <t>T.INV.2T(0.546449,60)</t>
  </si>
  <si>
    <t>=СТЬЮДЕНТ.ОБР.2Х(0,546449;60)</t>
  </si>
  <si>
    <t>TINV(0.05,30)</t>
  </si>
  <si>
    <t>=СТЬЮДРАСПОБР(0,05;30)</t>
  </si>
  <si>
    <t>T.TEST({3,4,5,8,9,1,2,4,5},{6,19,3,2,14,4,5,17,1},2,1)</t>
  </si>
  <si>
    <t>=СТЬЮДЕНТ.ТЕСТ({3;4;5;8;9;1;2;4;5};{6;19;3;2;14;4;5;17;1};2;1)</t>
  </si>
  <si>
    <t>T.TEST(Данные!C2:C6,Данные!C7:C11,2,2)</t>
  </si>
  <si>
    <t>=СТЬЮДЕНТ.ТЕСТ(Данные!C2:C6;Данные!C7:C11;2;2)</t>
  </si>
  <si>
    <t>T.TEST(Данные!C2:C6,Данные!C7:C11,1,3)</t>
  </si>
  <si>
    <t>=СТЬЮДЕНТ.ТЕСТ(Данные!C2:C6;Данные!C7:C11;1;3)</t>
  </si>
  <si>
    <t>TTEST({1,2,3,4},{2,4,6,9},2,3)</t>
  </si>
  <si>
    <t>=ТТЕСТ({1;2;3;4};{2;4;6;9};2;3)</t>
  </si>
  <si>
    <t>WEIBULL.DIST(105,20,100,TRUE)</t>
  </si>
  <si>
    <t>=ВЕЙБУЛЛ.РАСП(105;20;100;ИСТИНА)</t>
  </si>
  <si>
    <t>WEIBULL.DIST(105,20,100,FALSE)</t>
  </si>
  <si>
    <t>=ВЕЙБУЛЛ.РАСП(105;20;100;ЛОЖЬ)</t>
  </si>
  <si>
    <t>WEIBULL(2,1.5,3,TRUE)</t>
  </si>
  <si>
    <t>=ВЕЙБУЛЛ(2;1,5;3;ИСТИНА)</t>
  </si>
  <si>
    <t>Z.TEST({3,6,7,8,6,5,4,2,1,9},4)</t>
  </si>
  <si>
    <t>=Z.ТЕСТ({3;6;7;8;6;5;4;2;1;9};4)</t>
  </si>
  <si>
    <t>Z.TEST({3,6,7,8,6,5,4,2,1,9},6,2)</t>
  </si>
  <si>
    <t>=Z.ТЕСТ({3;6;7;8;6;5;4;2;1;9};6;2)</t>
  </si>
  <si>
    <t>ZTEST(Данные!E2:E11,3)</t>
  </si>
  <si>
    <t>=ZТЕСТ(Данные!E2:E11;3)</t>
  </si>
  <si>
    <t>CONFIDENCE.T(0.05,1,50)</t>
  </si>
  <si>
    <t>=ДОВЕРИТ.СТЬЮДЕНТ(0,05;1;50)</t>
  </si>
  <si>
    <t>CONFIDENCE.T(0.1,2.5,12)</t>
  </si>
  <si>
    <t>=ДОВЕРИТ.СТЬЮДЕНТ(0,1;2,5;12)</t>
  </si>
  <si>
    <t>Пакет C: комплексные числа, Бессель, ПРЕОБР</t>
  </si>
  <si>
    <t>COMPLEX(3,4)</t>
  </si>
  <si>
    <t>=КОМПЛЕКСН(3;4)</t>
  </si>
  <si>
    <t>COMPLEX(3,4,"j")</t>
  </si>
  <si>
    <t>=КОМПЛЕКСН(3;4;"j")</t>
  </si>
  <si>
    <t>COMPLEX(0,1)</t>
  </si>
  <si>
    <t>=КОМПЛЕКСН(0;1)</t>
  </si>
  <si>
    <t>COMPLEX(0,-1)</t>
  </si>
  <si>
    <t>=КОМПЛЕКСН(0;-1)</t>
  </si>
  <si>
    <t>COMPLEX(1.5,0)</t>
  </si>
  <si>
    <t>=КОМПЛЕКСН(1,5;0)</t>
  </si>
  <si>
    <t>COMPLEX(-2.5,-0.5)</t>
  </si>
  <si>
    <t>=КОМПЛЕКСН(-2,5;-0,5)</t>
  </si>
  <si>
    <t>IMABS("5+12i")</t>
  </si>
  <si>
    <t>=МНИМ.ABS("5+12i")</t>
  </si>
  <si>
    <t>IMAGINARY("3+4i")</t>
  </si>
  <si>
    <t>=МНИМ.ЧАСТЬ("3+4i")</t>
  </si>
  <si>
    <t>IMAGINARY("-i")</t>
  </si>
  <si>
    <t>=МНИМ.ЧАСТЬ("-i")</t>
  </si>
  <si>
    <t>IMREAL("6-9i")</t>
  </si>
  <si>
    <t>=МНИМ.ВЕЩ("6-9i")</t>
  </si>
  <si>
    <t>IMARGUMENT("3+4i")</t>
  </si>
  <si>
    <t>=МНИМ.АРГУМЕНТ("3+4i")</t>
  </si>
  <si>
    <t>IMCONJUGATE("3+4i")</t>
  </si>
  <si>
    <t>=МНИМ.СОПРЯЖ("3+4i")</t>
  </si>
  <si>
    <t>IMCOS("1+i")</t>
  </si>
  <si>
    <t>=МНИМ.COS("1+i")</t>
  </si>
  <si>
    <t>IMCOSH("4+3i")</t>
  </si>
  <si>
    <t>=МНИМ.COSH("4+3i")</t>
  </si>
  <si>
    <t>IMCOT("4+3i")</t>
  </si>
  <si>
    <t>=МНИМ.COT("4+3i")</t>
  </si>
  <si>
    <t>IMCSC("4+3i")</t>
  </si>
  <si>
    <t>=МНИМ.CSC("4+3i")</t>
  </si>
  <si>
    <t>IMCSCH("4+3i")</t>
  </si>
  <si>
    <t>=МНИМ.CSCH("4+3i")</t>
  </si>
  <si>
    <t>IMDIV("-238+240i","10+24i")</t>
  </si>
  <si>
    <t>=МНИМ.ДЕЛ("-238+240i";"10+24i")</t>
  </si>
  <si>
    <t>IMEXP("1+i")</t>
  </si>
  <si>
    <t>=МНИМ.EXP("1+i")</t>
  </si>
  <si>
    <t>IMLN("3+4i")</t>
  </si>
  <si>
    <t>=МНИМ.LN("3+4i")</t>
  </si>
  <si>
    <t>IMLOG10("3+4i")</t>
  </si>
  <si>
    <t>=МНИМ.LOG10("3+4i")</t>
  </si>
  <si>
    <t>IMLOG2("3+4i")</t>
  </si>
  <si>
    <t>=МНИМ.LOG2("3+4i")</t>
  </si>
  <si>
    <t>IMPOWER("2+3i",3)</t>
  </si>
  <si>
    <t>=МНИМ.СТЕПЕНЬ("2+3i";3)</t>
  </si>
  <si>
    <t>IMPOWER("2+3i",0.5)</t>
  </si>
  <si>
    <t>=МНИМ.СТЕПЕНЬ("2+3i";0,5)</t>
  </si>
  <si>
    <t>IMPRODUCT("3+4i","5-3i")</t>
  </si>
  <si>
    <t>=МНИМ.ПРОИЗВЕД("3+4i";"5-3i")</t>
  </si>
  <si>
    <t>IMPRODUCT("1+2i",30)</t>
  </si>
  <si>
    <t>=МНИМ.ПРОИЗВЕД("1+2i";30)</t>
  </si>
  <si>
    <t>IMSEC("4+3i")</t>
  </si>
  <si>
    <t>=МНИМ.SEC("4+3i")</t>
  </si>
  <si>
    <t>IMSECH("4+3i")</t>
  </si>
  <si>
    <t>=МНИМ.SECH("4+3i")</t>
  </si>
  <si>
    <t>IMSIN("4+3i")</t>
  </si>
  <si>
    <t>=МНИМ.SIN("4+3i")</t>
  </si>
  <si>
    <t>IMSINH("4+3i")</t>
  </si>
  <si>
    <t>=МНИМ.SINH("4+3i")</t>
  </si>
  <si>
    <t>IMSQRT("1+i")</t>
  </si>
  <si>
    <t>=МНИМ.КОРЕНЬ("1+i")</t>
  </si>
  <si>
    <t>IMSQRT("-4")</t>
  </si>
  <si>
    <t>=МНИМ.КОРЕНЬ("-4")</t>
  </si>
  <si>
    <t>IMSUB("13+4i","5+3i")</t>
  </si>
  <si>
    <t>=МНИМ.РАЗН("13+4i";"5+3i")</t>
  </si>
  <si>
    <t>IMSUM("3+4i","5-3i")</t>
  </si>
  <si>
    <t>=МНИМ.СУММ("3+4i";"5-3i")</t>
  </si>
  <si>
    <t>IMSUM("1+i","2-i")</t>
  </si>
  <si>
    <t>=МНИМ.СУММ("1+i";"2-i")</t>
  </si>
  <si>
    <t>IMTAN("4+3i")</t>
  </si>
  <si>
    <t>=МНИМ.TAN("4+3i")</t>
  </si>
  <si>
    <t>IMABS("1,5+2i")</t>
  </si>
  <si>
    <t>=МНИМ.ABS("1,5+2i")</t>
  </si>
  <si>
    <t>IMREAL("j")</t>
  </si>
  <si>
    <t>=МНИМ.ВЕЩ("j")</t>
  </si>
  <si>
    <t>BESSELI(1.5,1)</t>
  </si>
  <si>
    <t>=БЕССЕЛЬ.I(1,5;1)</t>
  </si>
  <si>
    <t>BESSELI(2.5,0)</t>
  </si>
  <si>
    <t>=БЕССЕЛЬ.I(2,5;0)</t>
  </si>
  <si>
    <t>BESSELI(4,3)</t>
  </si>
  <si>
    <t>=БЕССЕЛЬ.I(4;3)</t>
  </si>
  <si>
    <t>BESSELJ(1.9,2)</t>
  </si>
  <si>
    <t>=БЕССЕЛЬ.J(1,9;2)</t>
  </si>
  <si>
    <t>BESSELJ(10,0)</t>
  </si>
  <si>
    <t>=БЕССЕЛЬ.J(10;0)</t>
  </si>
  <si>
    <t>BESSELJ(0.5,1)</t>
  </si>
  <si>
    <t>=БЕССЕЛЬ.J(0,5;1)</t>
  </si>
  <si>
    <t>BESSELJ(15,5)</t>
  </si>
  <si>
    <t>=БЕССЕЛЬ.J(15;5)</t>
  </si>
  <si>
    <t>BESSELK(1.5,1)</t>
  </si>
  <si>
    <t>=БЕССЕЛЬ.K(1,5;1)</t>
  </si>
  <si>
    <t>BESSELK(0.5,0)</t>
  </si>
  <si>
    <t>=БЕССЕЛЬ.K(0,5;0)</t>
  </si>
  <si>
    <t>BESSELK(3,4)</t>
  </si>
  <si>
    <t>=БЕССЕЛЬ.K(3;4)</t>
  </si>
  <si>
    <t>BESSELY(2.5,1)</t>
  </si>
  <si>
    <t>=БЕССЕЛЬ.Y(2,5;1)</t>
  </si>
  <si>
    <t>BESSELY(10,0)</t>
  </si>
  <si>
    <t>=БЕССЕЛЬ.Y(10;0)</t>
  </si>
  <si>
    <t>BESSELY(1,3)</t>
  </si>
  <si>
    <t>=БЕССЕЛЬ.Y(1;3)</t>
  </si>
  <si>
    <t>CONVERT(1,"lbm","kg")</t>
  </si>
  <si>
    <t>=ПРЕОБР(1;"lbm";"kg")</t>
  </si>
  <si>
    <t>CONVERT(68,"F","C")</t>
  </si>
  <si>
    <t>=ПРЕОБР(68;"F";"C")</t>
  </si>
  <si>
    <t>CONVERT(2.5,"ft","sec")</t>
  </si>
  <si>
    <t>=ПРЕОБР(2,5;"ft";"sec")</t>
  </si>
  <si>
    <t>CONVERT(CONVERT(100,"ft","m"),"ft","m")</t>
  </si>
  <si>
    <t>=ПРЕОБР(ПРЕОБР(100;"ft";"m");"ft";"m")</t>
  </si>
  <si>
    <t>CONVERT(1,"mi","km")</t>
  </si>
  <si>
    <t>=ПРЕОБР(1;"mi";"km")</t>
  </si>
  <si>
    <t>CONVERT(10,"in","cm")</t>
  </si>
  <si>
    <t>=ПРЕОБР(10;"in";"cm")</t>
  </si>
  <si>
    <t>CONVERT(1,"yr","day")</t>
  </si>
  <si>
    <t>=ПРЕОБР(1;"yr";"day")</t>
  </si>
  <si>
    <t>CONVERT(1,"atm","mmHg")</t>
  </si>
  <si>
    <t>=ПРЕОБР(1;"atm";"mmHg")</t>
  </si>
  <si>
    <t>CONVERT(1,"cal","J")</t>
  </si>
  <si>
    <t>=ПРЕОБР(1;"cal";"J")</t>
  </si>
  <si>
    <t>CONVERT(1,"HP","W")</t>
  </si>
  <si>
    <t>=ПРЕОБР(1;"HP";"W")</t>
  </si>
  <si>
    <t>CONVERT(1,"gal","l")</t>
  </si>
  <si>
    <t>=ПРЕОБР(1;"gal";"l")</t>
  </si>
  <si>
    <t>CONVERT(1,"uk_gal","l")</t>
  </si>
  <si>
    <t>=ПРЕОБР(1;"uk_gal";"l")</t>
  </si>
  <si>
    <t>CONVERT(100,"C","K")</t>
  </si>
  <si>
    <t>=ПРЕОБР(100;"C";"K")</t>
  </si>
  <si>
    <t>CONVERT(0,"C","Rank")</t>
  </si>
  <si>
    <t>=ПРЕОБР(0;"C";"Rank")</t>
  </si>
  <si>
    <t>CONVERT(1,"kn","m/s")</t>
  </si>
  <si>
    <t>=ПРЕОБР(1;"kn";"m/s")</t>
  </si>
  <si>
    <t>CONVERT(1,"mph","m/s")</t>
  </si>
  <si>
    <t>=ПРЕОБР(1;"mph";"m/s")</t>
  </si>
  <si>
    <t>CONVERT(1,"ha","m2")</t>
  </si>
  <si>
    <t>=ПРЕОБР(1;"ha";"m2")</t>
  </si>
  <si>
    <t>CONVERT(1,"km2","m2")</t>
  </si>
  <si>
    <t>=ПРЕОБР(1;"km2";"m2")</t>
  </si>
  <si>
    <t>CONVERT(1,"m3","l")</t>
  </si>
  <si>
    <t>=ПРЕОБР(1;"m3";"l")</t>
  </si>
  <si>
    <t>CONVERT(1,"Gibyte","bit")</t>
  </si>
  <si>
    <t>=ПРЕОБР(1;"Gibyte";"bit")</t>
  </si>
  <si>
    <t>CONVERT(1,"kbyte","byte")</t>
  </si>
  <si>
    <t>=ПРЕОБР(1;"kbyte";"byte")</t>
  </si>
  <si>
    <t>CONVERT(1,"BTU","J")</t>
  </si>
  <si>
    <t>=ПРЕОБР(1;"BTU";"J")</t>
  </si>
  <si>
    <t>CONVERT(1,"eV","J")</t>
  </si>
  <si>
    <t>=ПРЕОБР(1;"eV";"J")</t>
  </si>
  <si>
    <t>CONVERT(1,"T","ga")</t>
  </si>
  <si>
    <t>=ПРЕОБР(1;"T";"ga")</t>
  </si>
  <si>
    <t>CONVERT(1,"stone","kg")</t>
  </si>
  <si>
    <t>=ПРЕОБР(1;"stone";"kg")</t>
  </si>
  <si>
    <t>CONVERT(1,"ozm","g")</t>
  </si>
  <si>
    <t>=ПРЕОБР(1;"ozm";"g")</t>
  </si>
  <si>
    <t>CONVERT(1,"psi","Pa")</t>
  </si>
  <si>
    <t>=ПРЕОБР(1;"psi";"Pa")</t>
  </si>
  <si>
    <t>CONVERT(1,"Nmi","m")</t>
  </si>
  <si>
    <t>=ПРЕОБР(1;"Nmi";"m")</t>
  </si>
  <si>
    <t>CONVERT(1,"ly","m")</t>
  </si>
  <si>
    <t>=ПРЕОБР(1;"ly";"m")</t>
  </si>
  <si>
    <t>CONVERT(1,"cup","tsp")</t>
  </si>
  <si>
    <t>=ПРЕОБР(1;"cup";"tsp")</t>
  </si>
  <si>
    <t>CONVERT(1,"lbf","N")</t>
  </si>
  <si>
    <t>=ПРЕОБР(1;"lbf";"N")</t>
  </si>
  <si>
    <t>CONVERT(1,"Wh","J")</t>
  </si>
  <si>
    <t>=ПРЕОБР(1;"Wh";"J")</t>
  </si>
  <si>
    <t>CONVERT(1,"mm","ang")</t>
  </si>
  <si>
    <t>=ПРЕОБР(1;"mm";"ang")</t>
  </si>
  <si>
    <t>CONVERT(1,"ft3","l")</t>
  </si>
  <si>
    <t>=ПРЕОБР(1;"ft3";"l")</t>
  </si>
  <si>
    <t>CONVERT(1,"in2","cm2")</t>
  </si>
  <si>
    <t>=ПРЕОБР(1;"in2";"cm2")</t>
  </si>
  <si>
    <t>CONVERT(1,"barrel","gal")</t>
  </si>
  <si>
    <t>=ПРЕОБР(1;"barrel";"gal")</t>
  </si>
  <si>
    <t>CONVERT(1,"Reau","C")</t>
  </si>
  <si>
    <t>=ПРЕОБР(1;"Reau";"C")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</si>
</sst>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dd\.mm\.yy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8" fontId="0" fillId="0" borderId="0" xfId="0" applyNumberFormat="1"/>
    <xf numFmtId="8" fontId="0" fillId="0" borderId="0" xfId="0" applyNumberFormat="1"/>
    <xf numFmtId="9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x">
      <tp t="e">
        <v>#N/A</v>
        <stp/>
        <stp>y</stp>
        <tr r="C624" s="5"/>
      </tp>
    </main>
  </volType>
  <volType type="olapFunctions">
    <main first="x">
      <tp t="e">
        <v>#N/A</v>
        <stp>1</stp>
        <tr r="C623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1EED-90EB-4541-8CEC-C44EE68CE245}">
  <dimension ref="A1:L11"/>
  <sheetViews>
    <sheetView tabSelected="1" workbookViewId="0"/>
  </sheetViews>
  <sheetFormatPr defaultRowHeight="15" x14ac:dyDescent="0.25"/>
  <cols>
    <col min="4" max="4" width="10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</v>
      </c>
      <c r="K1" t="s">
        <v>2</v>
      </c>
      <c r="L1" t="s">
        <v>1</v>
      </c>
    </row>
    <row r="2" spans="1:12" x14ac:dyDescent="0.25">
      <c r="A2" t="s">
        <v>8</v>
      </c>
      <c r="B2" t="s">
        <v>9</v>
      </c>
      <c r="C2">
        <v>1500</v>
      </c>
      <c r="D2" s="2">
        <v>46037</v>
      </c>
      <c r="E2">
        <v>3</v>
      </c>
      <c r="F2" t="b">
        <v>1</v>
      </c>
      <c r="G2">
        <v>5</v>
      </c>
      <c r="H2" s="1" t="s">
        <v>10</v>
      </c>
      <c r="J2" t="s">
        <v>12</v>
      </c>
      <c r="K2" t="s">
        <v>29</v>
      </c>
      <c r="L2" t="s">
        <v>9</v>
      </c>
    </row>
    <row r="3" spans="1:12" x14ac:dyDescent="0.25">
      <c r="A3" t="s">
        <v>11</v>
      </c>
      <c r="B3" t="s">
        <v>12</v>
      </c>
      <c r="C3">
        <v>230.5</v>
      </c>
      <c r="D3" s="2">
        <v>46081</v>
      </c>
      <c r="E3">
        <v>1</v>
      </c>
      <c r="F3" t="b">
        <v>0</v>
      </c>
      <c r="G3" s="1" t="s">
        <v>27</v>
      </c>
      <c r="H3" s="1" t="s">
        <v>13</v>
      </c>
      <c r="L3" t="s">
        <v>12</v>
      </c>
    </row>
    <row r="4" spans="1:12" x14ac:dyDescent="0.25">
      <c r="A4" t="s">
        <v>14</v>
      </c>
      <c r="B4" t="s">
        <v>9</v>
      </c>
      <c r="C4">
        <v>980</v>
      </c>
      <c r="D4" s="2">
        <v>46022</v>
      </c>
      <c r="E4">
        <v>7</v>
      </c>
      <c r="F4" t="b">
        <v>1</v>
      </c>
      <c r="H4" s="1" t="s">
        <v>15</v>
      </c>
    </row>
    <row r="5" spans="1:12" x14ac:dyDescent="0.25">
      <c r="A5" t="s">
        <v>16</v>
      </c>
      <c r="B5" t="s">
        <v>17</v>
      </c>
      <c r="C5">
        <v>4200</v>
      </c>
      <c r="D5" s="2">
        <v>46082</v>
      </c>
      <c r="E5">
        <v>2</v>
      </c>
      <c r="F5" t="b">
        <v>0</v>
      </c>
      <c r="G5" t="b">
        <v>1</v>
      </c>
      <c r="H5" s="1" t="s">
        <v>18</v>
      </c>
    </row>
    <row r="6" spans="1:12" x14ac:dyDescent="0.25">
      <c r="A6" t="s">
        <v>19</v>
      </c>
      <c r="B6" t="s">
        <v>12</v>
      </c>
      <c r="C6">
        <v>0</v>
      </c>
      <c r="D6" s="2">
        <v>45351</v>
      </c>
      <c r="E6">
        <v>5</v>
      </c>
      <c r="F6" t="b">
        <v>1</v>
      </c>
      <c r="G6" t="e">
        <f>NA()</f>
        <v>#N/A</v>
      </c>
      <c r="H6" s="1" t="s">
        <v>20</v>
      </c>
    </row>
    <row r="7" spans="1:12" x14ac:dyDescent="0.25">
      <c r="A7" t="s">
        <v>8</v>
      </c>
      <c r="B7" t="s">
        <v>9</v>
      </c>
      <c r="C7">
        <v>15.25</v>
      </c>
      <c r="D7" s="2">
        <v>46203</v>
      </c>
      <c r="E7">
        <v>8</v>
      </c>
      <c r="F7" t="b">
        <v>0</v>
      </c>
      <c r="G7">
        <v>3.5</v>
      </c>
      <c r="H7" s="1" t="s">
        <v>21</v>
      </c>
    </row>
    <row r="8" spans="1:12" x14ac:dyDescent="0.25">
      <c r="A8" t="s">
        <v>14</v>
      </c>
      <c r="B8" t="s">
        <v>17</v>
      </c>
      <c r="C8">
        <v>3100</v>
      </c>
      <c r="D8" s="2">
        <v>46305</v>
      </c>
      <c r="E8">
        <v>1</v>
      </c>
      <c r="F8" t="b">
        <v>1</v>
      </c>
      <c r="G8" t="str">
        <f>""</f>
        <v/>
      </c>
      <c r="H8" s="1" t="s">
        <v>22</v>
      </c>
    </row>
    <row r="9" spans="1:12" x14ac:dyDescent="0.25">
      <c r="A9" t="s">
        <v>11</v>
      </c>
      <c r="B9" t="s">
        <v>12</v>
      </c>
      <c r="C9">
        <v>-200</v>
      </c>
      <c r="D9" s="2">
        <v>44927</v>
      </c>
      <c r="E9">
        <v>4</v>
      </c>
      <c r="F9" t="b">
        <v>0</v>
      </c>
      <c r="G9">
        <v>-2</v>
      </c>
      <c r="H9" s="1" t="s">
        <v>23</v>
      </c>
    </row>
    <row r="10" spans="1:12" x14ac:dyDescent="0.25">
      <c r="A10" t="s">
        <v>16</v>
      </c>
      <c r="B10" t="s">
        <v>9</v>
      </c>
      <c r="C10">
        <v>760</v>
      </c>
      <c r="D10" s="2">
        <v>46381</v>
      </c>
      <c r="E10">
        <v>6</v>
      </c>
      <c r="F10" t="b">
        <v>1</v>
      </c>
      <c r="G10" t="s">
        <v>28</v>
      </c>
      <c r="H10" s="1" t="s">
        <v>24</v>
      </c>
    </row>
    <row r="11" spans="1:12" x14ac:dyDescent="0.25">
      <c r="A11" t="s">
        <v>25</v>
      </c>
      <c r="B11" t="s">
        <v>12</v>
      </c>
      <c r="C11">
        <v>1200</v>
      </c>
      <c r="D11" s="2">
        <v>46151</v>
      </c>
      <c r="E11">
        <v>2</v>
      </c>
      <c r="F11" t="b">
        <v>0</v>
      </c>
      <c r="G11">
        <v>0</v>
      </c>
      <c r="H1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273A-1695-4B7E-8AC4-41592AABC62C}">
  <dimension ref="A1:B2"/>
  <sheetViews>
    <sheetView workbookViewId="0"/>
  </sheetViews>
  <sheetFormatPr defaultRowHeight="15" x14ac:dyDescent="0.25"/>
  <sheetData>
    <row r="1" spans="1:2" x14ac:dyDescent="0.25">
      <c r="A1">
        <v>10</v>
      </c>
    </row>
    <row r="2" spans="1:2" x14ac:dyDescent="0.25"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13D3-AD55-4462-B438-7027C06FC366}">
  <dimension ref="A1:B2"/>
  <sheetViews>
    <sheetView workbookViewId="0"/>
  </sheetViews>
  <sheetFormatPr defaultRowHeight="15" x14ac:dyDescent="0.25"/>
  <sheetData>
    <row r="1" spans="1:2" x14ac:dyDescent="0.25">
      <c r="A1">
        <v>20</v>
      </c>
    </row>
    <row r="2" spans="1:2" x14ac:dyDescent="0.25">
      <c r="B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965B-F6C3-408F-9473-14306BF4ECF4}">
  <dimension ref="A1:B2"/>
  <sheetViews>
    <sheetView workbookViewId="0"/>
  </sheetViews>
  <sheetFormatPr defaultRowHeight="15" x14ac:dyDescent="0.25"/>
  <sheetData>
    <row r="1" spans="1:2" x14ac:dyDescent="0.25">
      <c r="A1">
        <v>30</v>
      </c>
    </row>
    <row r="2" spans="1:2" x14ac:dyDescent="0.25">
      <c r="B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C6E0-2581-4D1E-A765-BE261653750C}">
  <dimension ref="A1:E796"/>
  <sheetViews>
    <sheetView workbookViewId="0"/>
  </sheetViews>
  <sheetFormatPr defaultRowHeight="15" x14ac:dyDescent="0.25"/>
  <cols>
    <col min="2" max="2" width="9.140625" style="1"/>
  </cols>
  <sheetData>
    <row r="1" spans="1:5" x14ac:dyDescent="0.25">
      <c r="A1" t="s">
        <v>30</v>
      </c>
      <c r="B1" s="1" t="s">
        <v>31</v>
      </c>
      <c r="C1" t="s">
        <v>32</v>
      </c>
    </row>
    <row r="2" spans="1:5" x14ac:dyDescent="0.25">
      <c r="A2" t="s">
        <v>33</v>
      </c>
      <c r="B2" s="1" t="s">
        <v>34</v>
      </c>
      <c r="C2">
        <f>1+2*3</f>
        <v>7</v>
      </c>
      <c r="E2" s="1" t="s">
        <v>35</v>
      </c>
    </row>
    <row r="3" spans="1:5" x14ac:dyDescent="0.25">
      <c r="A3" t="s">
        <v>33</v>
      </c>
      <c r="B3" s="1" t="s">
        <v>36</v>
      </c>
      <c r="C3">
        <f>(1+2)*3</f>
        <v>9</v>
      </c>
      <c r="E3" s="1" t="s">
        <v>37</v>
      </c>
    </row>
    <row r="4" spans="1:5" x14ac:dyDescent="0.25">
      <c r="A4" t="s">
        <v>33</v>
      </c>
      <c r="B4" s="1" t="s">
        <v>38</v>
      </c>
      <c r="C4">
        <f>2^3^2</f>
        <v>64</v>
      </c>
      <c r="E4" s="1" t="s">
        <v>39</v>
      </c>
    </row>
    <row r="5" spans="1:5" x14ac:dyDescent="0.25">
      <c r="A5" t="s">
        <v>33</v>
      </c>
      <c r="B5" s="1" t="s">
        <v>40</v>
      </c>
      <c r="C5">
        <f>-2^2</f>
        <v>4</v>
      </c>
      <c r="E5" s="1" t="s">
        <v>41</v>
      </c>
    </row>
    <row r="6" spans="1:5" x14ac:dyDescent="0.25">
      <c r="A6" t="s">
        <v>33</v>
      </c>
      <c r="B6" s="1" t="s">
        <v>42</v>
      </c>
      <c r="C6">
        <f>10/4</f>
        <v>2.5</v>
      </c>
      <c r="E6" s="1" t="s">
        <v>43</v>
      </c>
    </row>
    <row r="7" spans="1:5" x14ac:dyDescent="0.25">
      <c r="A7" t="s">
        <v>33</v>
      </c>
      <c r="B7" s="1" t="s">
        <v>44</v>
      </c>
      <c r="C7" t="e">
        <f>7/0</f>
        <v>#DIV/0!</v>
      </c>
      <c r="E7" s="1" t="s">
        <v>45</v>
      </c>
    </row>
    <row r="8" spans="1:5" x14ac:dyDescent="0.25">
      <c r="A8" t="s">
        <v>33</v>
      </c>
      <c r="B8" s="1" t="s">
        <v>46</v>
      </c>
      <c r="C8">
        <f>5%</f>
        <v>0.05</v>
      </c>
      <c r="E8" s="1" t="s">
        <v>47</v>
      </c>
    </row>
    <row r="9" spans="1:5" x14ac:dyDescent="0.25">
      <c r="A9" t="s">
        <v>33</v>
      </c>
      <c r="B9" s="1" t="s">
        <v>48</v>
      </c>
      <c r="C9">
        <f>50%*200</f>
        <v>100</v>
      </c>
      <c r="E9" s="1" t="s">
        <v>49</v>
      </c>
    </row>
    <row r="10" spans="1:5" x14ac:dyDescent="0.25">
      <c r="A10" t="s">
        <v>33</v>
      </c>
      <c r="B10" s="1" t="s">
        <v>50</v>
      </c>
      <c r="C10">
        <f>"3"+4</f>
        <v>7</v>
      </c>
      <c r="E10" s="1" t="s">
        <v>51</v>
      </c>
    </row>
    <row r="11" spans="1:5" x14ac:dyDescent="0.25">
      <c r="A11" t="s">
        <v>33</v>
      </c>
      <c r="B11" s="1" t="s">
        <v>52</v>
      </c>
      <c r="C11" t="e">
        <f>"abc"+1</f>
        <v>#VALUE!</v>
      </c>
      <c r="E11" s="1" t="s">
        <v>53</v>
      </c>
    </row>
    <row r="12" spans="1:5" x14ac:dyDescent="0.25">
      <c r="A12" t="s">
        <v>33</v>
      </c>
      <c r="B12" s="1" t="s">
        <v>54</v>
      </c>
      <c r="C12">
        <f>"1,5"+1</f>
        <v>2.5</v>
      </c>
      <c r="E12" s="1" t="s">
        <v>55</v>
      </c>
    </row>
    <row r="13" spans="1:5" x14ac:dyDescent="0.25">
      <c r="A13" t="s">
        <v>33</v>
      </c>
      <c r="B13" s="1" t="s">
        <v>56</v>
      </c>
      <c r="C13">
        <f>TRUE+TRUE</f>
        <v>2</v>
      </c>
      <c r="E13" s="1" t="s">
        <v>57</v>
      </c>
    </row>
    <row r="14" spans="1:5" x14ac:dyDescent="0.25">
      <c r="A14" t="s">
        <v>33</v>
      </c>
      <c r="B14" s="1" t="s">
        <v>58</v>
      </c>
      <c r="C14" t="b">
        <f>1=1</f>
        <v>1</v>
      </c>
      <c r="E14" s="1" t="s">
        <v>59</v>
      </c>
    </row>
    <row r="15" spans="1:5" x14ac:dyDescent="0.25">
      <c r="A15" t="s">
        <v>33</v>
      </c>
      <c r="B15" s="1" t="s">
        <v>60</v>
      </c>
      <c r="C15" t="b">
        <f>"a"="A"</f>
        <v>1</v>
      </c>
      <c r="E15" s="1" t="s">
        <v>61</v>
      </c>
    </row>
    <row r="16" spans="1:5" x14ac:dyDescent="0.25">
      <c r="A16" t="s">
        <v>33</v>
      </c>
      <c r="B16" s="1" t="s">
        <v>62</v>
      </c>
      <c r="C16" t="b">
        <f>"a"&lt;"b"</f>
        <v>1</v>
      </c>
      <c r="E16" s="1" t="s">
        <v>63</v>
      </c>
    </row>
    <row r="17" spans="1:5" x14ac:dyDescent="0.25">
      <c r="A17" t="s">
        <v>33</v>
      </c>
      <c r="B17" s="1" t="s">
        <v>64</v>
      </c>
      <c r="C17" t="b">
        <f>"Б"&gt;"А"</f>
        <v>1</v>
      </c>
      <c r="E17" s="1" t="s">
        <v>65</v>
      </c>
    </row>
    <row r="18" spans="1:5" x14ac:dyDescent="0.25">
      <c r="A18" t="s">
        <v>33</v>
      </c>
      <c r="B18" s="1" t="s">
        <v>66</v>
      </c>
      <c r="C18" t="b">
        <f>2&lt;"1"</f>
        <v>1</v>
      </c>
      <c r="E18" s="1" t="s">
        <v>67</v>
      </c>
    </row>
    <row r="19" spans="1:5" x14ac:dyDescent="0.25">
      <c r="A19" t="s">
        <v>33</v>
      </c>
      <c r="B19" s="1" t="s">
        <v>68</v>
      </c>
      <c r="C19" t="b">
        <f>TRUE&gt;1</f>
        <v>1</v>
      </c>
      <c r="E19" s="1" t="s">
        <v>69</v>
      </c>
    </row>
    <row r="20" spans="1:5" x14ac:dyDescent="0.25">
      <c r="A20" t="s">
        <v>33</v>
      </c>
      <c r="B20" s="1" t="s">
        <v>70</v>
      </c>
      <c r="C20" t="str">
        <f>"x"&amp;1.5</f>
        <v>x1,5</v>
      </c>
      <c r="E20" s="1" t="s">
        <v>71</v>
      </c>
    </row>
    <row r="21" spans="1:5" x14ac:dyDescent="0.25">
      <c r="A21" t="s">
        <v>33</v>
      </c>
      <c r="B21" s="1" t="s">
        <v>72</v>
      </c>
      <c r="C21" t="str">
        <f>1&amp;2</f>
        <v>12</v>
      </c>
      <c r="E21" s="1" t="s">
        <v>73</v>
      </c>
    </row>
    <row r="22" spans="1:5" x14ac:dyDescent="0.25">
      <c r="A22" t="s">
        <v>33</v>
      </c>
      <c r="B22" s="1" t="s">
        <v>74</v>
      </c>
      <c r="C22" t="str">
        <f>""&amp;TRUE</f>
        <v>ИСТИНА</v>
      </c>
      <c r="E22" s="1" t="s">
        <v>75</v>
      </c>
    </row>
    <row r="23" spans="1:5" x14ac:dyDescent="0.25">
      <c r="A23" t="s">
        <v>33</v>
      </c>
      <c r="B23" s="1" t="s">
        <v>76</v>
      </c>
      <c r="C23">
        <f>0.1+0.2</f>
        <v>0.30000000000000004</v>
      </c>
      <c r="E23" s="1" t="s">
        <v>77</v>
      </c>
    </row>
    <row r="24" spans="1:5" x14ac:dyDescent="0.25">
      <c r="A24" t="s">
        <v>33</v>
      </c>
      <c r="B24" s="1" t="s">
        <v>78</v>
      </c>
      <c r="C24" t="b">
        <f>0.1+0.2=0.3</f>
        <v>1</v>
      </c>
      <c r="E24" s="1" t="s">
        <v>79</v>
      </c>
    </row>
    <row r="25" spans="1:5" x14ac:dyDescent="0.25">
      <c r="A25" t="s">
        <v>33</v>
      </c>
      <c r="B25" s="1" t="s">
        <v>80</v>
      </c>
      <c r="C25">
        <f>1/3*3</f>
        <v>1</v>
      </c>
      <c r="E25" s="1" t="s">
        <v>81</v>
      </c>
    </row>
    <row r="26" spans="1:5" x14ac:dyDescent="0.25">
      <c r="A26" t="s">
        <v>33</v>
      </c>
      <c r="B26" s="1" t="s">
        <v>82</v>
      </c>
      <c r="C26">
        <f>10^-3</f>
        <v>1E-3</v>
      </c>
      <c r="E26" s="1" t="s">
        <v>83</v>
      </c>
    </row>
    <row r="27" spans="1:5" x14ac:dyDescent="0.25">
      <c r="A27" t="s">
        <v>33</v>
      </c>
      <c r="B27" s="1" t="s">
        <v>84</v>
      </c>
      <c r="C27">
        <f>1000</f>
        <v>1000</v>
      </c>
      <c r="E27" s="1" t="s">
        <v>85</v>
      </c>
    </row>
    <row r="28" spans="1:5" x14ac:dyDescent="0.25">
      <c r="A28" t="s">
        <v>33</v>
      </c>
      <c r="B28" s="1" t="s">
        <v>86</v>
      </c>
      <c r="C28">
        <f>123456789012345000</f>
        <v>1.2345678901234499E+17</v>
      </c>
      <c r="E28" s="1" t="s">
        <v>87</v>
      </c>
    </row>
    <row r="29" spans="1:5" x14ac:dyDescent="0.25">
      <c r="A29" t="s">
        <v>33</v>
      </c>
      <c r="B29" s="1" t="s">
        <v>88</v>
      </c>
      <c r="C29">
        <f>1/3</f>
        <v>0.33333333333333331</v>
      </c>
      <c r="E29" s="1" t="s">
        <v>89</v>
      </c>
    </row>
    <row r="30" spans="1:5" x14ac:dyDescent="0.25">
      <c r="A30" t="s">
        <v>33</v>
      </c>
      <c r="B30" s="1" t="s">
        <v>90</v>
      </c>
      <c r="C30">
        <f>2/3+1000000</f>
        <v>1000000.6666666666</v>
      </c>
      <c r="E30" s="1" t="s">
        <v>91</v>
      </c>
    </row>
    <row r="31" spans="1:5" x14ac:dyDescent="0.25">
      <c r="A31" t="s">
        <v>33</v>
      </c>
      <c r="B31" s="1" t="s">
        <v>92</v>
      </c>
      <c r="C31">
        <f>Данные!C2+Данные!C3</f>
        <v>1730.5</v>
      </c>
      <c r="E31" s="1" t="s">
        <v>93</v>
      </c>
    </row>
    <row r="32" spans="1:5" x14ac:dyDescent="0.25">
      <c r="A32" t="s">
        <v>33</v>
      </c>
      <c r="B32" s="1" t="s">
        <v>94</v>
      </c>
      <c r="C32">
        <f>Данные!G4+1</f>
        <v>1</v>
      </c>
      <c r="E32" s="1" t="s">
        <v>95</v>
      </c>
    </row>
    <row r="33" spans="1:5" x14ac:dyDescent="0.25">
      <c r="A33" t="s">
        <v>33</v>
      </c>
      <c r="B33" s="1" t="s">
        <v>96</v>
      </c>
      <c r="C33" t="str">
        <f>Данные!G4&amp;"x"</f>
        <v>x</v>
      </c>
      <c r="E33" s="1" t="s">
        <v>97</v>
      </c>
    </row>
    <row r="34" spans="1:5" x14ac:dyDescent="0.25">
      <c r="A34" t="s">
        <v>33</v>
      </c>
      <c r="B34" s="1" t="s">
        <v>98</v>
      </c>
      <c r="C34">
        <f>Данные!G3*2</f>
        <v>24</v>
      </c>
      <c r="E34" s="1" t="s">
        <v>99</v>
      </c>
    </row>
    <row r="35" spans="1:5" x14ac:dyDescent="0.25">
      <c r="A35" t="s">
        <v>33</v>
      </c>
      <c r="B35" s="1" t="s">
        <v>100</v>
      </c>
      <c r="C35" t="e">
        <f>Данные!G8+1</f>
        <v>#VALUE!</v>
      </c>
      <c r="E35" s="1" t="s">
        <v>101</v>
      </c>
    </row>
    <row r="36" spans="1:5" x14ac:dyDescent="0.25">
      <c r="A36" t="s">
        <v>33</v>
      </c>
      <c r="B36" s="1" t="s">
        <v>102</v>
      </c>
      <c r="C36" t="e">
        <f>Данные!G6+1</f>
        <v>#N/A</v>
      </c>
      <c r="E36" s="1" t="s">
        <v>103</v>
      </c>
    </row>
    <row r="37" spans="1:5" x14ac:dyDescent="0.25">
      <c r="A37" t="s">
        <v>104</v>
      </c>
      <c r="B37" s="1" t="s">
        <v>105</v>
      </c>
      <c r="C37">
        <f>SUM(Данные!C2:C11)</f>
        <v>11785.75</v>
      </c>
      <c r="E37" s="1" t="s">
        <v>106</v>
      </c>
    </row>
    <row r="38" spans="1:5" x14ac:dyDescent="0.25">
      <c r="A38" t="s">
        <v>104</v>
      </c>
      <c r="B38" s="1" t="s">
        <v>107</v>
      </c>
      <c r="C38" t="e">
        <f>SUM(Данные!G2:G11)</f>
        <v>#N/A</v>
      </c>
      <c r="E38" s="1" t="s">
        <v>108</v>
      </c>
    </row>
    <row r="39" spans="1:5" x14ac:dyDescent="0.25">
      <c r="A39" t="s">
        <v>104</v>
      </c>
      <c r="B39" s="1" t="s">
        <v>109</v>
      </c>
      <c r="C39">
        <f>SUM(1,"2",TRUE)</f>
        <v>4</v>
      </c>
      <c r="E39" s="1" t="s">
        <v>110</v>
      </c>
    </row>
    <row r="40" spans="1:5" x14ac:dyDescent="0.25">
      <c r="A40" t="s">
        <v>104</v>
      </c>
      <c r="B40" s="1" t="s">
        <v>111</v>
      </c>
      <c r="C40">
        <f>SUM(Данные!C2:C11,100)</f>
        <v>11885.75</v>
      </c>
      <c r="E40" s="1" t="s">
        <v>112</v>
      </c>
    </row>
    <row r="41" spans="1:5" x14ac:dyDescent="0.25">
      <c r="A41" t="s">
        <v>104</v>
      </c>
      <c r="B41" s="1" t="s">
        <v>113</v>
      </c>
      <c r="C41">
        <f>PRODUCT(Данные!E2:E6)</f>
        <v>210</v>
      </c>
      <c r="E41" s="1" t="s">
        <v>114</v>
      </c>
    </row>
    <row r="42" spans="1:5" x14ac:dyDescent="0.25">
      <c r="A42" t="s">
        <v>104</v>
      </c>
      <c r="B42" s="1" t="s">
        <v>115</v>
      </c>
      <c r="C42">
        <f>AVERAGE(Данные!C2:C11)</f>
        <v>1178.575</v>
      </c>
      <c r="E42" s="1" t="s">
        <v>116</v>
      </c>
    </row>
    <row r="43" spans="1:5" x14ac:dyDescent="0.25">
      <c r="A43" t="s">
        <v>104</v>
      </c>
      <c r="B43" s="1" t="s">
        <v>117</v>
      </c>
      <c r="C43" t="e">
        <f>AVERAGE(Данные!G2:G11)</f>
        <v>#N/A</v>
      </c>
      <c r="E43" s="1" t="s">
        <v>118</v>
      </c>
    </row>
    <row r="44" spans="1:5" x14ac:dyDescent="0.25">
      <c r="A44" t="s">
        <v>104</v>
      </c>
      <c r="B44" s="1" t="s">
        <v>119</v>
      </c>
      <c r="C44">
        <f>MIN(Данные!C2:C11)</f>
        <v>-200</v>
      </c>
      <c r="E44" s="1" t="s">
        <v>120</v>
      </c>
    </row>
    <row r="45" spans="1:5" x14ac:dyDescent="0.25">
      <c r="A45" t="s">
        <v>104</v>
      </c>
      <c r="B45" s="1" t="s">
        <v>121</v>
      </c>
      <c r="C45">
        <f>MAX(Данные!C2:C11)</f>
        <v>4200</v>
      </c>
      <c r="E45" s="1" t="s">
        <v>122</v>
      </c>
    </row>
    <row r="46" spans="1:5" x14ac:dyDescent="0.25">
      <c r="A46" t="s">
        <v>104</v>
      </c>
      <c r="B46" s="1" t="s">
        <v>123</v>
      </c>
      <c r="C46">
        <f>MEDIAN(Данные!C2:C11)</f>
        <v>870</v>
      </c>
      <c r="E46" s="1" t="s">
        <v>124</v>
      </c>
    </row>
    <row r="47" spans="1:5" x14ac:dyDescent="0.25">
      <c r="A47" t="s">
        <v>104</v>
      </c>
      <c r="B47" s="1" t="s">
        <v>125</v>
      </c>
      <c r="C47">
        <f>ABS(-3.5)</f>
        <v>3.5</v>
      </c>
      <c r="E47" s="1" t="s">
        <v>126</v>
      </c>
    </row>
    <row r="48" spans="1:5" x14ac:dyDescent="0.25">
      <c r="A48" t="s">
        <v>104</v>
      </c>
      <c r="B48" s="1" t="s">
        <v>127</v>
      </c>
      <c r="C48">
        <f>SIGN(-0.1)</f>
        <v>-1</v>
      </c>
      <c r="E48" s="1" t="s">
        <v>128</v>
      </c>
    </row>
    <row r="49" spans="1:5" x14ac:dyDescent="0.25">
      <c r="A49" t="s">
        <v>104</v>
      </c>
      <c r="B49" s="1" t="s">
        <v>129</v>
      </c>
      <c r="C49">
        <f>INT(-2.5)</f>
        <v>-3</v>
      </c>
      <c r="E49" s="1" t="s">
        <v>130</v>
      </c>
    </row>
    <row r="50" spans="1:5" x14ac:dyDescent="0.25">
      <c r="A50" t="s">
        <v>104</v>
      </c>
      <c r="B50" s="1" t="s">
        <v>131</v>
      </c>
      <c r="C50">
        <f>INT(2.5)</f>
        <v>2</v>
      </c>
      <c r="E50" s="1" t="s">
        <v>132</v>
      </c>
    </row>
    <row r="51" spans="1:5" x14ac:dyDescent="0.25">
      <c r="A51" t="s">
        <v>104</v>
      </c>
      <c r="B51" s="1" t="s">
        <v>133</v>
      </c>
      <c r="C51">
        <f>SQRT(16)</f>
        <v>4</v>
      </c>
      <c r="E51" s="1" t="s">
        <v>134</v>
      </c>
    </row>
    <row r="52" spans="1:5" x14ac:dyDescent="0.25">
      <c r="A52" t="s">
        <v>104</v>
      </c>
      <c r="B52" s="1" t="s">
        <v>135</v>
      </c>
      <c r="C52" t="e">
        <f>SQRT(-1)</f>
        <v>#NUM!</v>
      </c>
      <c r="E52" s="1" t="s">
        <v>136</v>
      </c>
    </row>
    <row r="53" spans="1:5" x14ac:dyDescent="0.25">
      <c r="A53" t="s">
        <v>104</v>
      </c>
      <c r="B53" s="1" t="s">
        <v>137</v>
      </c>
      <c r="C53">
        <f>PI()</f>
        <v>3.1415926535897931</v>
      </c>
      <c r="E53" s="1" t="s">
        <v>138</v>
      </c>
    </row>
    <row r="54" spans="1:5" x14ac:dyDescent="0.25">
      <c r="A54" t="s">
        <v>104</v>
      </c>
      <c r="B54" s="1" t="s">
        <v>139</v>
      </c>
      <c r="C54">
        <f>POWER(2,10)</f>
        <v>1024</v>
      </c>
      <c r="E54" s="1" t="s">
        <v>140</v>
      </c>
    </row>
    <row r="55" spans="1:5" x14ac:dyDescent="0.25">
      <c r="A55" t="s">
        <v>104</v>
      </c>
      <c r="B55" s="1" t="s">
        <v>141</v>
      </c>
      <c r="C55">
        <f>MOD(10,3)</f>
        <v>1</v>
      </c>
      <c r="E55" s="1" t="s">
        <v>142</v>
      </c>
    </row>
    <row r="56" spans="1:5" x14ac:dyDescent="0.25">
      <c r="A56" t="s">
        <v>104</v>
      </c>
      <c r="B56" s="1" t="s">
        <v>143</v>
      </c>
      <c r="C56">
        <f>MOD(-10,3)</f>
        <v>2</v>
      </c>
      <c r="E56" s="1" t="s">
        <v>144</v>
      </c>
    </row>
    <row r="57" spans="1:5" x14ac:dyDescent="0.25">
      <c r="A57" t="s">
        <v>104</v>
      </c>
      <c r="B57" s="1" t="s">
        <v>145</v>
      </c>
      <c r="C57">
        <f>MOD(10,-3)</f>
        <v>-2</v>
      </c>
      <c r="E57" s="1" t="s">
        <v>146</v>
      </c>
    </row>
    <row r="58" spans="1:5" x14ac:dyDescent="0.25">
      <c r="A58" t="s">
        <v>104</v>
      </c>
      <c r="B58" s="1" t="s">
        <v>147</v>
      </c>
      <c r="C58" t="e">
        <f>MOD(5,0)</f>
        <v>#DIV/0!</v>
      </c>
      <c r="E58" s="1" t="s">
        <v>148</v>
      </c>
    </row>
    <row r="59" spans="1:5" x14ac:dyDescent="0.25">
      <c r="A59" t="s">
        <v>104</v>
      </c>
      <c r="B59" s="1" t="s">
        <v>149</v>
      </c>
      <c r="C59">
        <f>ROUND(2.345,2)</f>
        <v>2.35</v>
      </c>
      <c r="E59" s="1" t="s">
        <v>150</v>
      </c>
    </row>
    <row r="60" spans="1:5" x14ac:dyDescent="0.25">
      <c r="A60" t="s">
        <v>104</v>
      </c>
      <c r="B60" s="1" t="s">
        <v>151</v>
      </c>
      <c r="C60">
        <f>ROUND(2.5,0)</f>
        <v>3</v>
      </c>
      <c r="E60" s="1" t="s">
        <v>152</v>
      </c>
    </row>
    <row r="61" spans="1:5" x14ac:dyDescent="0.25">
      <c r="A61" t="s">
        <v>104</v>
      </c>
      <c r="B61" s="1" t="s">
        <v>153</v>
      </c>
      <c r="C61">
        <f>ROUND(-2.5,0)</f>
        <v>-3</v>
      </c>
      <c r="E61" s="1" t="s">
        <v>154</v>
      </c>
    </row>
    <row r="62" spans="1:5" x14ac:dyDescent="0.25">
      <c r="A62" t="s">
        <v>104</v>
      </c>
      <c r="B62" s="1" t="s">
        <v>155</v>
      </c>
      <c r="C62">
        <f>ROUND(1234.5678,-2)</f>
        <v>1200</v>
      </c>
      <c r="E62" s="1" t="s">
        <v>156</v>
      </c>
    </row>
    <row r="63" spans="1:5" x14ac:dyDescent="0.25">
      <c r="A63" t="s">
        <v>104</v>
      </c>
      <c r="B63" s="1" t="s">
        <v>157</v>
      </c>
      <c r="C63">
        <f>ROUND(0.285,2)</f>
        <v>0.28999999999999998</v>
      </c>
      <c r="E63" s="1" t="s">
        <v>158</v>
      </c>
    </row>
    <row r="64" spans="1:5" x14ac:dyDescent="0.25">
      <c r="A64" t="s">
        <v>104</v>
      </c>
      <c r="B64" s="1" t="s">
        <v>159</v>
      </c>
      <c r="C64">
        <f>ROUNDUP(2.341,2)</f>
        <v>2.3499999999999996</v>
      </c>
      <c r="E64" s="1" t="s">
        <v>160</v>
      </c>
    </row>
    <row r="65" spans="1:5" x14ac:dyDescent="0.25">
      <c r="A65" t="s">
        <v>104</v>
      </c>
      <c r="B65" s="1" t="s">
        <v>161</v>
      </c>
      <c r="C65">
        <f>ROUNDUP(-2.341,1)</f>
        <v>-2.4</v>
      </c>
      <c r="E65" s="1" t="s">
        <v>162</v>
      </c>
    </row>
    <row r="66" spans="1:5" x14ac:dyDescent="0.25">
      <c r="A66" t="s">
        <v>104</v>
      </c>
      <c r="B66" s="1" t="s">
        <v>163</v>
      </c>
      <c r="C66">
        <f>ROUNDDOWN(2.349,2)</f>
        <v>2.34</v>
      </c>
      <c r="E66" s="1" t="s">
        <v>164</v>
      </c>
    </row>
    <row r="67" spans="1:5" x14ac:dyDescent="0.25">
      <c r="A67" t="s">
        <v>104</v>
      </c>
      <c r="B67" s="1" t="s">
        <v>165</v>
      </c>
      <c r="C67">
        <f>MROUND(10,3)</f>
        <v>9</v>
      </c>
      <c r="E67" s="1" t="s">
        <v>166</v>
      </c>
    </row>
    <row r="68" spans="1:5" x14ac:dyDescent="0.25">
      <c r="A68" t="s">
        <v>104</v>
      </c>
      <c r="B68" s="1" t="s">
        <v>167</v>
      </c>
      <c r="C68">
        <f>MROUND(-10,-3)</f>
        <v>-9</v>
      </c>
      <c r="E68" s="1" t="s">
        <v>168</v>
      </c>
    </row>
    <row r="69" spans="1:5" x14ac:dyDescent="0.25">
      <c r="A69" t="s">
        <v>104</v>
      </c>
      <c r="B69" s="1" t="s">
        <v>169</v>
      </c>
      <c r="C69">
        <f>CEILING(2.1,1)</f>
        <v>3</v>
      </c>
      <c r="E69" s="1" t="s">
        <v>170</v>
      </c>
    </row>
    <row r="70" spans="1:5" x14ac:dyDescent="0.25">
      <c r="A70" t="s">
        <v>104</v>
      </c>
      <c r="B70" s="1" t="s">
        <v>171</v>
      </c>
      <c r="C70">
        <f>CEILING(-2.1,-1)</f>
        <v>-3</v>
      </c>
      <c r="E70" s="1" t="s">
        <v>172</v>
      </c>
    </row>
    <row r="71" spans="1:5" x14ac:dyDescent="0.25">
      <c r="A71" t="s">
        <v>104</v>
      </c>
      <c r="B71" s="1" t="s">
        <v>173</v>
      </c>
      <c r="C71">
        <f>_xlfn.CEILING.MATH(-2.1)</f>
        <v>-2</v>
      </c>
      <c r="E71" s="1" t="s">
        <v>174</v>
      </c>
    </row>
    <row r="72" spans="1:5" x14ac:dyDescent="0.25">
      <c r="A72" t="s">
        <v>104</v>
      </c>
      <c r="B72" s="1" t="s">
        <v>175</v>
      </c>
      <c r="C72">
        <f>FLOOR(2.9,1)</f>
        <v>2</v>
      </c>
      <c r="E72" s="1" t="s">
        <v>176</v>
      </c>
    </row>
    <row r="73" spans="1:5" x14ac:dyDescent="0.25">
      <c r="A73" t="s">
        <v>104</v>
      </c>
      <c r="B73" s="1" t="s">
        <v>177</v>
      </c>
      <c r="C73">
        <f>_xlfn.FLOOR.MATH(-2.1)</f>
        <v>-3</v>
      </c>
      <c r="E73" s="1" t="s">
        <v>178</v>
      </c>
    </row>
    <row r="74" spans="1:5" x14ac:dyDescent="0.25">
      <c r="A74" t="s">
        <v>104</v>
      </c>
      <c r="B74" s="1" t="s">
        <v>179</v>
      </c>
      <c r="C74">
        <f>TRUNC(-8.9)</f>
        <v>-8</v>
      </c>
      <c r="E74" s="1" t="s">
        <v>180</v>
      </c>
    </row>
    <row r="75" spans="1:5" x14ac:dyDescent="0.25">
      <c r="A75" t="s">
        <v>104</v>
      </c>
      <c r="B75" s="1" t="s">
        <v>181</v>
      </c>
      <c r="C75">
        <f>TRUNC(3.14159,2)</f>
        <v>3.14</v>
      </c>
      <c r="E75" s="1" t="s">
        <v>182</v>
      </c>
    </row>
    <row r="76" spans="1:5" x14ac:dyDescent="0.25">
      <c r="A76" t="s">
        <v>104</v>
      </c>
      <c r="B76" s="1" t="s">
        <v>183</v>
      </c>
      <c r="C76">
        <f>EVEN(3)</f>
        <v>4</v>
      </c>
      <c r="E76" s="1" t="s">
        <v>184</v>
      </c>
    </row>
    <row r="77" spans="1:5" x14ac:dyDescent="0.25">
      <c r="A77" t="s">
        <v>104</v>
      </c>
      <c r="B77" s="1" t="s">
        <v>185</v>
      </c>
      <c r="C77">
        <f>ODD(4)</f>
        <v>5</v>
      </c>
      <c r="E77" s="1" t="s">
        <v>186</v>
      </c>
    </row>
    <row r="78" spans="1:5" x14ac:dyDescent="0.25">
      <c r="A78" t="s">
        <v>104</v>
      </c>
      <c r="B78" s="1" t="s">
        <v>187</v>
      </c>
      <c r="C78">
        <f>EXP(1)</f>
        <v>2.7182818284590451</v>
      </c>
      <c r="E78" s="1" t="s">
        <v>188</v>
      </c>
    </row>
    <row r="79" spans="1:5" x14ac:dyDescent="0.25">
      <c r="A79" t="s">
        <v>104</v>
      </c>
      <c r="B79" s="1" t="s">
        <v>189</v>
      </c>
      <c r="C79">
        <f>LN(10)</f>
        <v>2.3025850929940459</v>
      </c>
      <c r="E79" s="1" t="s">
        <v>190</v>
      </c>
    </row>
    <row r="80" spans="1:5" x14ac:dyDescent="0.25">
      <c r="A80" t="s">
        <v>104</v>
      </c>
      <c r="B80" s="1" t="s">
        <v>191</v>
      </c>
      <c r="C80">
        <f>LOG(100)</f>
        <v>2</v>
      </c>
      <c r="E80" s="1" t="s">
        <v>192</v>
      </c>
    </row>
    <row r="81" spans="1:5" x14ac:dyDescent="0.25">
      <c r="A81" t="s">
        <v>104</v>
      </c>
      <c r="B81" s="1" t="s">
        <v>193</v>
      </c>
      <c r="C81">
        <f>LOG(8,2)</f>
        <v>3</v>
      </c>
      <c r="E81" s="1" t="s">
        <v>194</v>
      </c>
    </row>
    <row r="82" spans="1:5" x14ac:dyDescent="0.25">
      <c r="A82" t="s">
        <v>104</v>
      </c>
      <c r="B82" s="1" t="s">
        <v>195</v>
      </c>
      <c r="C82">
        <f>LOG10(1000)</f>
        <v>3</v>
      </c>
      <c r="E82" s="1" t="s">
        <v>196</v>
      </c>
    </row>
    <row r="83" spans="1:5" x14ac:dyDescent="0.25">
      <c r="A83" t="s">
        <v>104</v>
      </c>
      <c r="B83" s="1" t="s">
        <v>197</v>
      </c>
      <c r="C83">
        <f>FACT(5)</f>
        <v>120</v>
      </c>
      <c r="E83" s="1" t="s">
        <v>198</v>
      </c>
    </row>
    <row r="84" spans="1:5" x14ac:dyDescent="0.25">
      <c r="A84" t="s">
        <v>104</v>
      </c>
      <c r="B84" s="1" t="s">
        <v>199</v>
      </c>
      <c r="C84">
        <f>GCD(12,18)</f>
        <v>6</v>
      </c>
      <c r="E84" s="1" t="s">
        <v>200</v>
      </c>
    </row>
    <row r="85" spans="1:5" x14ac:dyDescent="0.25">
      <c r="A85" t="s">
        <v>104</v>
      </c>
      <c r="B85" s="1" t="s">
        <v>201</v>
      </c>
      <c r="C85">
        <f>LCM(4,6)</f>
        <v>12</v>
      </c>
      <c r="E85" s="1" t="s">
        <v>202</v>
      </c>
    </row>
    <row r="86" spans="1:5" x14ac:dyDescent="0.25">
      <c r="A86" t="s">
        <v>104</v>
      </c>
      <c r="B86" s="1" t="s">
        <v>203</v>
      </c>
      <c r="C86">
        <f>QUOTIENT(7,2)</f>
        <v>3</v>
      </c>
      <c r="E86" s="1" t="s">
        <v>204</v>
      </c>
    </row>
    <row r="87" spans="1:5" x14ac:dyDescent="0.25">
      <c r="A87" t="s">
        <v>104</v>
      </c>
      <c r="B87" s="1" t="s">
        <v>205</v>
      </c>
      <c r="C87">
        <f>SIN(PI()/2)</f>
        <v>1</v>
      </c>
      <c r="E87" s="1" t="s">
        <v>206</v>
      </c>
    </row>
    <row r="88" spans="1:5" x14ac:dyDescent="0.25">
      <c r="A88" t="s">
        <v>104</v>
      </c>
      <c r="B88" s="1" t="s">
        <v>207</v>
      </c>
      <c r="C88">
        <f>COS(0)</f>
        <v>1</v>
      </c>
      <c r="E88" s="1" t="s">
        <v>208</v>
      </c>
    </row>
    <row r="89" spans="1:5" x14ac:dyDescent="0.25">
      <c r="A89" t="s">
        <v>104</v>
      </c>
      <c r="B89" s="1" t="s">
        <v>209</v>
      </c>
      <c r="C89">
        <f>TAN(PI()/4)</f>
        <v>0.99999999999999989</v>
      </c>
      <c r="E89" s="1" t="s">
        <v>210</v>
      </c>
    </row>
    <row r="90" spans="1:5" x14ac:dyDescent="0.25">
      <c r="A90" t="s">
        <v>104</v>
      </c>
      <c r="B90" s="1" t="s">
        <v>211</v>
      </c>
      <c r="C90">
        <f>ATAN2(1,1)</f>
        <v>0.78539816339744828</v>
      </c>
      <c r="E90" s="1" t="s">
        <v>212</v>
      </c>
    </row>
    <row r="91" spans="1:5" x14ac:dyDescent="0.25">
      <c r="A91" t="s">
        <v>104</v>
      </c>
      <c r="B91" s="1" t="s">
        <v>213</v>
      </c>
      <c r="C91">
        <f>DEGREES(PI())</f>
        <v>180</v>
      </c>
      <c r="E91" s="1" t="s">
        <v>214</v>
      </c>
    </row>
    <row r="92" spans="1:5" x14ac:dyDescent="0.25">
      <c r="A92" t="s">
        <v>104</v>
      </c>
      <c r="B92" s="1" t="s">
        <v>215</v>
      </c>
      <c r="C92">
        <f>RADIANS(180)</f>
        <v>3.1415926535897931</v>
      </c>
      <c r="E92" s="1" t="s">
        <v>216</v>
      </c>
    </row>
    <row r="93" spans="1:5" x14ac:dyDescent="0.25">
      <c r="A93" t="s">
        <v>104</v>
      </c>
      <c r="B93" s="1" t="s">
        <v>217</v>
      </c>
      <c r="C93" t="str">
        <f>ROMAN(1994)</f>
        <v>MCMXCIV</v>
      </c>
      <c r="E93" s="1" t="s">
        <v>218</v>
      </c>
    </row>
    <row r="94" spans="1:5" x14ac:dyDescent="0.25">
      <c r="A94" t="s">
        <v>104</v>
      </c>
      <c r="B94" s="1" t="s">
        <v>219</v>
      </c>
      <c r="C94">
        <f>_xlfn.ARABIC("MCMXCIV")</f>
        <v>1994</v>
      </c>
      <c r="E94" s="1" t="s">
        <v>220</v>
      </c>
    </row>
    <row r="95" spans="1:5" x14ac:dyDescent="0.25">
      <c r="A95" t="s">
        <v>104</v>
      </c>
      <c r="B95" s="1" t="s">
        <v>221</v>
      </c>
      <c r="C95">
        <f>SUMSQ(1,2,3)</f>
        <v>14</v>
      </c>
      <c r="E95" s="1" t="s">
        <v>222</v>
      </c>
    </row>
    <row r="96" spans="1:5" x14ac:dyDescent="0.25">
      <c r="A96" t="s">
        <v>104</v>
      </c>
      <c r="B96" s="1" t="s">
        <v>223</v>
      </c>
      <c r="C96">
        <f>COMBIN(5,2)</f>
        <v>10</v>
      </c>
      <c r="E96" s="1" t="s">
        <v>224</v>
      </c>
    </row>
    <row r="97" spans="1:5" x14ac:dyDescent="0.25">
      <c r="A97" t="s">
        <v>104</v>
      </c>
      <c r="B97" s="1" t="s">
        <v>225</v>
      </c>
      <c r="C97">
        <f>PERMUT(5,2)</f>
        <v>20</v>
      </c>
      <c r="E97" s="1" t="s">
        <v>226</v>
      </c>
    </row>
    <row r="98" spans="1:5" x14ac:dyDescent="0.25">
      <c r="A98" t="s">
        <v>104</v>
      </c>
      <c r="B98" s="1" t="s">
        <v>227</v>
      </c>
      <c r="C98" t="str">
        <f>_xlfn.BASE(255,16)</f>
        <v>FF</v>
      </c>
      <c r="E98" s="1" t="s">
        <v>228</v>
      </c>
    </row>
    <row r="99" spans="1:5" x14ac:dyDescent="0.25">
      <c r="A99" t="s">
        <v>104</v>
      </c>
      <c r="B99" s="1" t="s">
        <v>229</v>
      </c>
      <c r="C99">
        <f>_xlfn.DECIMAL("FF",16)</f>
        <v>255</v>
      </c>
      <c r="E99" s="1" t="s">
        <v>230</v>
      </c>
    </row>
    <row r="100" spans="1:5" x14ac:dyDescent="0.25">
      <c r="A100" t="s">
        <v>104</v>
      </c>
      <c r="B100" s="1" t="s">
        <v>231</v>
      </c>
      <c r="C100">
        <f>SUM(Данные!C:C)</f>
        <v>11785.75</v>
      </c>
      <c r="E100" s="1" t="s">
        <v>232</v>
      </c>
    </row>
    <row r="101" spans="1:5" x14ac:dyDescent="0.25">
      <c r="A101" t="s">
        <v>104</v>
      </c>
      <c r="B101" s="1" t="s">
        <v>233</v>
      </c>
      <c r="C101">
        <f>SUM(Данные!2:2)</f>
        <v>47545</v>
      </c>
      <c r="E101" s="1" t="s">
        <v>234</v>
      </c>
    </row>
    <row r="102" spans="1:5" x14ac:dyDescent="0.25">
      <c r="A102" t="s">
        <v>104</v>
      </c>
      <c r="B102" s="1" t="s">
        <v>235</v>
      </c>
      <c r="C102">
        <f>SUM(Кв1:Кв3!A1)</f>
        <v>60</v>
      </c>
      <c r="E102" s="1" t="s">
        <v>236</v>
      </c>
    </row>
    <row r="103" spans="1:5" x14ac:dyDescent="0.25">
      <c r="A103" t="s">
        <v>104</v>
      </c>
      <c r="B103" s="1" t="s">
        <v>237</v>
      </c>
      <c r="C103">
        <f>AVERAGE(Кв1:Кв3!B2)</f>
        <v>2</v>
      </c>
      <c r="E103" s="1" t="s">
        <v>238</v>
      </c>
    </row>
    <row r="104" spans="1:5" x14ac:dyDescent="0.25">
      <c r="A104" t="s">
        <v>104</v>
      </c>
      <c r="B104" s="1" t="s">
        <v>239</v>
      </c>
      <c r="C104">
        <f>SUM(Суммы)</f>
        <v>11785.75</v>
      </c>
      <c r="E104" s="1" t="s">
        <v>240</v>
      </c>
    </row>
    <row r="105" spans="1:5" x14ac:dyDescent="0.25">
      <c r="A105" t="s">
        <v>104</v>
      </c>
      <c r="B105" s="1" t="s">
        <v>241</v>
      </c>
      <c r="C105" cm="1">
        <f t="array" ref="C105">1000*Ставка</f>
        <v>200</v>
      </c>
      <c r="E105" s="1" t="s">
        <v>242</v>
      </c>
    </row>
    <row r="106" spans="1:5" x14ac:dyDescent="0.25">
      <c r="A106" t="s">
        <v>104</v>
      </c>
      <c r="B106" s="1" t="s">
        <v>243</v>
      </c>
      <c r="C106" cm="1">
        <f t="array" ref="C106">SUM(Суммы)*Ставка</f>
        <v>2357.15</v>
      </c>
      <c r="E106" s="1" t="s">
        <v>244</v>
      </c>
    </row>
    <row r="107" spans="1:5" x14ac:dyDescent="0.25">
      <c r="A107" t="s">
        <v>245</v>
      </c>
      <c r="B107" s="1" t="s">
        <v>246</v>
      </c>
      <c r="C107" t="str">
        <f>IF(Данные!C2&gt;1000,"много","мало")</f>
        <v>много</v>
      </c>
      <c r="E107" s="1" t="s">
        <v>247</v>
      </c>
    </row>
    <row r="108" spans="1:5" x14ac:dyDescent="0.25">
      <c r="A108" t="s">
        <v>245</v>
      </c>
      <c r="B108" s="1" t="s">
        <v>248</v>
      </c>
      <c r="C108" t="b">
        <f>IF(0,1)</f>
        <v>0</v>
      </c>
      <c r="E108" s="1" t="s">
        <v>249</v>
      </c>
    </row>
    <row r="109" spans="1:5" x14ac:dyDescent="0.25">
      <c r="A109" t="s">
        <v>245</v>
      </c>
      <c r="B109" s="1" t="s">
        <v>250</v>
      </c>
      <c r="C109" t="e">
        <f>IF("",1,2)</f>
        <v>#VALUE!</v>
      </c>
      <c r="E109" s="1" t="s">
        <v>251</v>
      </c>
    </row>
    <row r="110" spans="1:5" x14ac:dyDescent="0.25">
      <c r="A110" t="s">
        <v>245</v>
      </c>
      <c r="B110" s="1" t="s">
        <v>252</v>
      </c>
      <c r="C110">
        <f>IF(Данные!G4,1,2)</f>
        <v>2</v>
      </c>
      <c r="E110" s="1" t="s">
        <v>253</v>
      </c>
    </row>
    <row r="111" spans="1:5" x14ac:dyDescent="0.25">
      <c r="A111" t="s">
        <v>245</v>
      </c>
      <c r="B111" s="1" t="s">
        <v>254</v>
      </c>
      <c r="C111" t="str">
        <f>IFERROR(1/0,"ошибка")</f>
        <v>ошибка</v>
      </c>
      <c r="E111" s="1" t="s">
        <v>255</v>
      </c>
    </row>
    <row r="112" spans="1:5" x14ac:dyDescent="0.25">
      <c r="A112" t="s">
        <v>245</v>
      </c>
      <c r="B112" s="1" t="s">
        <v>256</v>
      </c>
      <c r="C112" t="str">
        <f>IFERROR(Данные!G6,"нет")</f>
        <v>нет</v>
      </c>
      <c r="E112" s="1" t="s">
        <v>257</v>
      </c>
    </row>
    <row r="113" spans="1:5" x14ac:dyDescent="0.25">
      <c r="A113" t="s">
        <v>245</v>
      </c>
      <c r="B113" s="1" t="s">
        <v>258</v>
      </c>
      <c r="C113" t="b">
        <f>AND(TRUE,1,"")</f>
        <v>1</v>
      </c>
      <c r="E113" s="1" t="s">
        <v>259</v>
      </c>
    </row>
    <row r="114" spans="1:5" x14ac:dyDescent="0.25">
      <c r="A114" t="s">
        <v>245</v>
      </c>
      <c r="B114" s="1" t="s">
        <v>260</v>
      </c>
      <c r="C114" t="b">
        <f>AND(Данные!F2:F11)</f>
        <v>0</v>
      </c>
      <c r="E114" s="1" t="s">
        <v>261</v>
      </c>
    </row>
    <row r="115" spans="1:5" x14ac:dyDescent="0.25">
      <c r="A115" t="s">
        <v>245</v>
      </c>
      <c r="B115" s="1" t="s">
        <v>262</v>
      </c>
      <c r="C115" t="b">
        <f>OR(Данные!F2:F11)</f>
        <v>1</v>
      </c>
      <c r="E115" s="1" t="s">
        <v>263</v>
      </c>
    </row>
    <row r="116" spans="1:5" x14ac:dyDescent="0.25">
      <c r="A116" t="s">
        <v>245</v>
      </c>
      <c r="B116" s="1" t="s">
        <v>264</v>
      </c>
      <c r="C116" t="b">
        <f>NOT(0)</f>
        <v>1</v>
      </c>
      <c r="E116" s="1" t="s">
        <v>265</v>
      </c>
    </row>
    <row r="117" spans="1:5" x14ac:dyDescent="0.25">
      <c r="A117" t="s">
        <v>245</v>
      </c>
      <c r="B117" s="1" t="s">
        <v>266</v>
      </c>
      <c r="C117" t="b">
        <f>_xlfn.XOR(TRUE,TRUE,TRUE)</f>
        <v>1</v>
      </c>
      <c r="E117" s="1" t="s">
        <v>267</v>
      </c>
    </row>
    <row r="118" spans="1:5" x14ac:dyDescent="0.25">
      <c r="A118" t="s">
        <v>245</v>
      </c>
      <c r="B118" s="1" t="s">
        <v>268</v>
      </c>
      <c r="C118" t="str" cm="1">
        <f t="array" ref="C118">_xlfn.IFS(Данные!C3&gt;1000,"A",Данные!C3&gt;100,"B",TRUE,"C")</f>
        <v>B</v>
      </c>
      <c r="E118" s="1" t="s">
        <v>269</v>
      </c>
    </row>
    <row r="119" spans="1:5" x14ac:dyDescent="0.25">
      <c r="A119" t="s">
        <v>245</v>
      </c>
      <c r="B119" s="1" t="s">
        <v>270</v>
      </c>
      <c r="C119" t="str" cm="1">
        <f t="array" ref="C119">_xlfn.SWITCH(2,1,"один",2,"два","иначе")</f>
        <v>два</v>
      </c>
      <c r="E119" s="1" t="s">
        <v>271</v>
      </c>
    </row>
    <row r="120" spans="1:5" x14ac:dyDescent="0.25">
      <c r="A120" t="s">
        <v>245</v>
      </c>
      <c r="B120" s="1" t="s">
        <v>272</v>
      </c>
      <c r="C120" t="str" cm="1">
        <f t="array" ref="C120">_xlfn.SWITCH(9,1,"один","иначе")</f>
        <v>иначе</v>
      </c>
      <c r="E120" s="1" t="s">
        <v>273</v>
      </c>
    </row>
    <row r="121" spans="1:5" x14ac:dyDescent="0.25">
      <c r="A121" t="s">
        <v>245</v>
      </c>
      <c r="B121" s="1" t="s">
        <v>274</v>
      </c>
      <c r="C121" t="str">
        <f>_xlfn.IFNA(NA(),"нет")</f>
        <v>нет</v>
      </c>
      <c r="E121" s="1" t="s">
        <v>275</v>
      </c>
    </row>
    <row r="122" spans="1:5" x14ac:dyDescent="0.25">
      <c r="A122" t="s">
        <v>245</v>
      </c>
      <c r="B122" s="1" t="s">
        <v>276</v>
      </c>
      <c r="C122" t="e">
        <f>_xlfn.IFNA(1/0,"нет")</f>
        <v>#DIV/0!</v>
      </c>
      <c r="E122" s="1" t="s">
        <v>277</v>
      </c>
    </row>
    <row r="123" spans="1:5" x14ac:dyDescent="0.25">
      <c r="A123" t="s">
        <v>245</v>
      </c>
      <c r="B123" s="1" t="s">
        <v>278</v>
      </c>
      <c r="C123" t="b">
        <f>ISNA(Данные!G6)</f>
        <v>1</v>
      </c>
      <c r="E123" s="1" t="s">
        <v>279</v>
      </c>
    </row>
    <row r="124" spans="1:5" x14ac:dyDescent="0.25">
      <c r="A124" t="s">
        <v>245</v>
      </c>
      <c r="B124" s="1" t="s">
        <v>280</v>
      </c>
      <c r="C124" t="b">
        <f>ISLOGICAL(Данные!F2)</f>
        <v>1</v>
      </c>
      <c r="E124" s="1" t="s">
        <v>281</v>
      </c>
    </row>
    <row r="125" spans="1:5" x14ac:dyDescent="0.25">
      <c r="A125" t="s">
        <v>245</v>
      </c>
      <c r="B125" s="1" t="s">
        <v>282</v>
      </c>
      <c r="C125" t="b">
        <f>ISREF(Данные!A1)</f>
        <v>1</v>
      </c>
      <c r="E125" s="1" t="s">
        <v>283</v>
      </c>
    </row>
    <row r="126" spans="1:5" x14ac:dyDescent="0.25">
      <c r="A126" t="s">
        <v>245</v>
      </c>
      <c r="B126" s="1" t="s">
        <v>284</v>
      </c>
      <c r="C126" t="b">
        <f>ISEVEN(4)</f>
        <v>1</v>
      </c>
      <c r="E126" s="1" t="s">
        <v>285</v>
      </c>
    </row>
    <row r="127" spans="1:5" x14ac:dyDescent="0.25">
      <c r="A127" t="s">
        <v>245</v>
      </c>
      <c r="B127" s="1" t="s">
        <v>286</v>
      </c>
      <c r="C127" t="b">
        <f>ISODD(4)</f>
        <v>0</v>
      </c>
      <c r="E127" s="1" t="s">
        <v>287</v>
      </c>
    </row>
    <row r="128" spans="1:5" x14ac:dyDescent="0.25">
      <c r="A128" t="s">
        <v>245</v>
      </c>
      <c r="B128" s="1" t="s">
        <v>288</v>
      </c>
      <c r="C128" t="b">
        <f>ISBLANK(Данные!G4)</f>
        <v>1</v>
      </c>
      <c r="E128" s="1" t="s">
        <v>289</v>
      </c>
    </row>
    <row r="129" spans="1:5" x14ac:dyDescent="0.25">
      <c r="A129" t="s">
        <v>245</v>
      </c>
      <c r="B129" s="1" t="s">
        <v>290</v>
      </c>
      <c r="C129" t="b">
        <f>ISBLANK(Данные!G8)</f>
        <v>0</v>
      </c>
      <c r="E129" s="1" t="s">
        <v>291</v>
      </c>
    </row>
    <row r="130" spans="1:5" x14ac:dyDescent="0.25">
      <c r="A130" t="s">
        <v>245</v>
      </c>
      <c r="B130" s="1" t="s">
        <v>292</v>
      </c>
      <c r="C130" t="b">
        <f>ISNUMBER(Данные!G3)</f>
        <v>0</v>
      </c>
      <c r="E130" s="1" t="s">
        <v>293</v>
      </c>
    </row>
    <row r="131" spans="1:5" x14ac:dyDescent="0.25">
      <c r="A131" t="s">
        <v>245</v>
      </c>
      <c r="B131" s="1" t="s">
        <v>294</v>
      </c>
      <c r="C131" t="b">
        <f>ISTEXT(Данные!G8)</f>
        <v>1</v>
      </c>
      <c r="E131" s="1" t="s">
        <v>295</v>
      </c>
    </row>
    <row r="132" spans="1:5" x14ac:dyDescent="0.25">
      <c r="A132" t="s">
        <v>245</v>
      </c>
      <c r="B132" s="1" t="s">
        <v>296</v>
      </c>
      <c r="C132" t="b">
        <f>ISERROR(Данные!G6)</f>
        <v>1</v>
      </c>
      <c r="E132" s="1" t="s">
        <v>297</v>
      </c>
    </row>
    <row r="133" spans="1:5" x14ac:dyDescent="0.25">
      <c r="A133" t="s">
        <v>245</v>
      </c>
      <c r="B133" s="1" t="s">
        <v>298</v>
      </c>
      <c r="C133" t="b">
        <f>ISERR(Данные!G6)</f>
        <v>0</v>
      </c>
      <c r="E133" s="1" t="s">
        <v>299</v>
      </c>
    </row>
    <row r="134" spans="1:5" x14ac:dyDescent="0.25">
      <c r="A134" t="s">
        <v>245</v>
      </c>
      <c r="B134" s="1" t="s">
        <v>300</v>
      </c>
      <c r="C134" t="b">
        <f>ISNONTEXT(Данные!G4)</f>
        <v>1</v>
      </c>
      <c r="E134" s="1" t="s">
        <v>301</v>
      </c>
    </row>
    <row r="135" spans="1:5" x14ac:dyDescent="0.25">
      <c r="A135" t="s">
        <v>245</v>
      </c>
      <c r="B135" s="1" t="s">
        <v>302</v>
      </c>
      <c r="C135" t="b">
        <f>_xlfn.ISFORMULA(Данные!G6)</f>
        <v>1</v>
      </c>
      <c r="E135" s="1" t="s">
        <v>303</v>
      </c>
    </row>
    <row r="136" spans="1:5" x14ac:dyDescent="0.25">
      <c r="A136" t="s">
        <v>245</v>
      </c>
      <c r="B136" s="1" t="s">
        <v>304</v>
      </c>
      <c r="C136">
        <f>N(Данные!G5)</f>
        <v>1</v>
      </c>
      <c r="E136" s="1" t="s">
        <v>305</v>
      </c>
    </row>
    <row r="137" spans="1:5" x14ac:dyDescent="0.25">
      <c r="A137" t="s">
        <v>245</v>
      </c>
      <c r="B137" s="1" t="s">
        <v>306</v>
      </c>
      <c r="C137">
        <f>TYPE(Данные!G3)</f>
        <v>2</v>
      </c>
      <c r="E137" s="1" t="s">
        <v>307</v>
      </c>
    </row>
    <row r="138" spans="1:5" x14ac:dyDescent="0.25">
      <c r="A138" t="s">
        <v>245</v>
      </c>
      <c r="B138" s="1" t="s">
        <v>308</v>
      </c>
      <c r="C138">
        <f>TYPE(Данные!G6)</f>
        <v>16</v>
      </c>
      <c r="E138" s="1" t="s">
        <v>309</v>
      </c>
    </row>
    <row r="139" spans="1:5" x14ac:dyDescent="0.25">
      <c r="A139" t="s">
        <v>310</v>
      </c>
      <c r="B139" s="1" t="s">
        <v>311</v>
      </c>
      <c r="C139">
        <f>SUMIF(Данные!B2:B11,"Продажи",Данные!C2:C11)</f>
        <v>3255.25</v>
      </c>
      <c r="E139" s="1" t="s">
        <v>312</v>
      </c>
    </row>
    <row r="140" spans="1:5" x14ac:dyDescent="0.25">
      <c r="A140" t="s">
        <v>310</v>
      </c>
      <c r="B140" s="1" t="s">
        <v>313</v>
      </c>
      <c r="C140">
        <f>SUMIF(Данные!C2:C11,"&gt;1000")</f>
        <v>10000</v>
      </c>
      <c r="E140" s="1" t="s">
        <v>314</v>
      </c>
    </row>
    <row r="141" spans="1:5" x14ac:dyDescent="0.25">
      <c r="A141" t="s">
        <v>310</v>
      </c>
      <c r="B141" s="1" t="s">
        <v>315</v>
      </c>
      <c r="C141">
        <f>SUMIF(Данные!C2:C11,"&lt;&gt;0")</f>
        <v>11785.75</v>
      </c>
      <c r="E141" s="1" t="s">
        <v>316</v>
      </c>
    </row>
    <row r="142" spans="1:5" x14ac:dyDescent="0.25">
      <c r="A142" t="s">
        <v>310</v>
      </c>
      <c r="B142" s="1" t="s">
        <v>317</v>
      </c>
      <c r="C142">
        <f>SUMIF(Данные!A2:A11,"И*",Данные!E2:E11)</f>
        <v>11</v>
      </c>
      <c r="E142" s="1" t="s">
        <v>318</v>
      </c>
    </row>
    <row r="143" spans="1:5" x14ac:dyDescent="0.25">
      <c r="A143" t="s">
        <v>310</v>
      </c>
      <c r="B143" s="1" t="s">
        <v>319</v>
      </c>
      <c r="C143">
        <f>SUMIF(Данные!A2:A11,"?????",Данные!E2:E11)</f>
        <v>10</v>
      </c>
      <c r="E143" s="1" t="s">
        <v>320</v>
      </c>
    </row>
    <row r="144" spans="1:5" x14ac:dyDescent="0.25">
      <c r="A144" t="s">
        <v>310</v>
      </c>
      <c r="B144" s="1" t="s">
        <v>321</v>
      </c>
      <c r="C144">
        <f>COUNTIF(Данные!B2:B11,"склад")</f>
        <v>4</v>
      </c>
      <c r="E144" s="1" t="s">
        <v>322</v>
      </c>
    </row>
    <row r="145" spans="1:5" x14ac:dyDescent="0.25">
      <c r="A145" t="s">
        <v>310</v>
      </c>
      <c r="B145" s="1" t="s">
        <v>323</v>
      </c>
      <c r="C145">
        <f>COUNTIF(Данные!C2:C11,"&gt;="&amp;1000)</f>
        <v>4</v>
      </c>
      <c r="E145" s="1" t="s">
        <v>324</v>
      </c>
    </row>
    <row r="146" spans="1:5" x14ac:dyDescent="0.25">
      <c r="A146" t="s">
        <v>310</v>
      </c>
      <c r="B146" s="1" t="s">
        <v>325</v>
      </c>
      <c r="C146">
        <f>COUNTIF(Данные!G2:G11,"")</f>
        <v>2</v>
      </c>
      <c r="E146" s="1" t="s">
        <v>326</v>
      </c>
    </row>
    <row r="147" spans="1:5" x14ac:dyDescent="0.25">
      <c r="A147" t="s">
        <v>310</v>
      </c>
      <c r="B147" s="1" t="s">
        <v>327</v>
      </c>
      <c r="C147">
        <f>COUNTIF(Данные!G2:G11,"&lt;&gt;")</f>
        <v>9</v>
      </c>
      <c r="E147" s="1" t="s">
        <v>328</v>
      </c>
    </row>
    <row r="148" spans="1:5" x14ac:dyDescent="0.25">
      <c r="A148" t="s">
        <v>310</v>
      </c>
      <c r="B148" s="1" t="s">
        <v>329</v>
      </c>
      <c r="C148">
        <f>COUNTIF(Данные!G2:G11,12)</f>
        <v>1</v>
      </c>
      <c r="E148" s="1" t="s">
        <v>330</v>
      </c>
    </row>
    <row r="149" spans="1:5" x14ac:dyDescent="0.25">
      <c r="A149" t="s">
        <v>310</v>
      </c>
      <c r="B149" s="1" t="s">
        <v>331</v>
      </c>
      <c r="C149">
        <f>COUNTIF(Данные!F2:F11,TRUE)</f>
        <v>5</v>
      </c>
      <c r="E149" s="1" t="s">
        <v>332</v>
      </c>
    </row>
    <row r="150" spans="1:5" x14ac:dyDescent="0.25">
      <c r="A150" t="s">
        <v>310</v>
      </c>
      <c r="B150" s="1" t="s">
        <v>333</v>
      </c>
      <c r="C150">
        <f>AVERAGEIF(Данные!B2:B11,"Склад",Данные!C2:C11)</f>
        <v>307.625</v>
      </c>
      <c r="E150" s="1" t="s">
        <v>334</v>
      </c>
    </row>
    <row r="151" spans="1:5" x14ac:dyDescent="0.25">
      <c r="A151" t="s">
        <v>310</v>
      </c>
      <c r="B151" s="1" t="s">
        <v>335</v>
      </c>
      <c r="C151">
        <f>SUMIFS(Данные!C2:C11,Данные!B2:B11,"Продажи",Данные!E2:E11,"&gt;3")</f>
        <v>1755.25</v>
      </c>
      <c r="E151" s="1" t="s">
        <v>336</v>
      </c>
    </row>
    <row r="152" spans="1:5" x14ac:dyDescent="0.25">
      <c r="A152" t="s">
        <v>310</v>
      </c>
      <c r="B152" s="1" t="s">
        <v>337</v>
      </c>
      <c r="C152">
        <f>COUNTIFS(Данные!B2:B11,"Склад",Данные!C2:C11,"&gt;0")</f>
        <v>2</v>
      </c>
      <c r="E152" s="1" t="s">
        <v>338</v>
      </c>
    </row>
    <row r="153" spans="1:5" x14ac:dyDescent="0.25">
      <c r="A153" t="s">
        <v>310</v>
      </c>
      <c r="B153" s="1" t="s">
        <v>339</v>
      </c>
      <c r="C153">
        <f>AVERAGEIFS(Данные!C2:C11,Данные!B2:B11,"Продажи")</f>
        <v>813.8125</v>
      </c>
      <c r="E153" s="1" t="s">
        <v>340</v>
      </c>
    </row>
    <row r="154" spans="1:5" x14ac:dyDescent="0.25">
      <c r="A154" t="s">
        <v>310</v>
      </c>
      <c r="B154" s="1" t="s">
        <v>341</v>
      </c>
      <c r="C154">
        <f>_xlfn.MAXIFS(Данные!C2:C11,Данные!B2:B11,"Склад")</f>
        <v>1200</v>
      </c>
      <c r="E154" s="1" t="s">
        <v>342</v>
      </c>
    </row>
    <row r="155" spans="1:5" x14ac:dyDescent="0.25">
      <c r="A155" t="s">
        <v>310</v>
      </c>
      <c r="B155" s="1" t="s">
        <v>343</v>
      </c>
      <c r="C155">
        <f>_xlfn.MINIFS(Данные!C2:C11,Данные!B2:B11,"Склад")</f>
        <v>-200</v>
      </c>
      <c r="E155" s="1" t="s">
        <v>344</v>
      </c>
    </row>
    <row r="156" spans="1:5" x14ac:dyDescent="0.25">
      <c r="A156" t="s">
        <v>310</v>
      </c>
      <c r="B156" s="1" t="s">
        <v>345</v>
      </c>
      <c r="C156">
        <f>SUMPRODUCT(Данные!C2:C11,Данные!E2:E11)</f>
        <v>29372.5</v>
      </c>
      <c r="E156" s="1" t="s">
        <v>346</v>
      </c>
    </row>
    <row r="157" spans="1:5" x14ac:dyDescent="0.25">
      <c r="A157" t="s">
        <v>310</v>
      </c>
      <c r="B157" s="1" t="s">
        <v>347</v>
      </c>
      <c r="C157" cm="1">
        <f t="array" ref="C157">SUMPRODUCT((Данные!B2:B11="Склад")*Данные!C2:C11)</f>
        <v>1230.5</v>
      </c>
      <c r="E157" s="1" t="s">
        <v>348</v>
      </c>
    </row>
    <row r="158" spans="1:5" x14ac:dyDescent="0.25">
      <c r="A158" t="s">
        <v>310</v>
      </c>
      <c r="B158" s="1" t="s">
        <v>349</v>
      </c>
      <c r="C158">
        <f>SUBTOTAL(9,Данные!C2:C11)</f>
        <v>11785.75</v>
      </c>
      <c r="E158" s="1" t="s">
        <v>350</v>
      </c>
    </row>
    <row r="159" spans="1:5" x14ac:dyDescent="0.25">
      <c r="A159" t="s">
        <v>310</v>
      </c>
      <c r="B159" s="1" t="s">
        <v>351</v>
      </c>
      <c r="C159">
        <f>SUBTOTAL(101,Данные!C2:C11)</f>
        <v>1178.575</v>
      </c>
      <c r="E159" s="1" t="s">
        <v>352</v>
      </c>
    </row>
    <row r="160" spans="1:5" x14ac:dyDescent="0.25">
      <c r="A160" t="s">
        <v>310</v>
      </c>
      <c r="B160" s="1" t="s">
        <v>353</v>
      </c>
      <c r="C160">
        <f>_xlfn.AGGREGATE(9,6,Данные!G2:G11)</f>
        <v>6.5</v>
      </c>
      <c r="E160" s="1" t="s">
        <v>354</v>
      </c>
    </row>
    <row r="161" spans="1:5" x14ac:dyDescent="0.25">
      <c r="A161" t="s">
        <v>310</v>
      </c>
      <c r="B161" s="1" t="s">
        <v>355</v>
      </c>
      <c r="C161">
        <f>COUNT(Данные!G2:G11)</f>
        <v>4</v>
      </c>
      <c r="E161" s="1" t="s">
        <v>356</v>
      </c>
    </row>
    <row r="162" spans="1:5" x14ac:dyDescent="0.25">
      <c r="A162" t="s">
        <v>310</v>
      </c>
      <c r="B162" s="1" t="s">
        <v>357</v>
      </c>
      <c r="C162">
        <f>COUNTA(Данные!G2:G11)</f>
        <v>9</v>
      </c>
      <c r="E162" s="1" t="s">
        <v>358</v>
      </c>
    </row>
    <row r="163" spans="1:5" x14ac:dyDescent="0.25">
      <c r="A163" t="s">
        <v>310</v>
      </c>
      <c r="B163" s="1" t="s">
        <v>359</v>
      </c>
      <c r="C163">
        <f>COUNTBLANK(Данные!G2:G11)</f>
        <v>2</v>
      </c>
      <c r="E163" s="1" t="s">
        <v>360</v>
      </c>
    </row>
    <row r="164" spans="1:5" x14ac:dyDescent="0.25">
      <c r="A164" t="s">
        <v>361</v>
      </c>
      <c r="B164" s="1" t="s">
        <v>362</v>
      </c>
      <c r="C164">
        <f>VLOOKUP("Мария",Данные!A2:C11,3,FALSE)</f>
        <v>980</v>
      </c>
      <c r="E164" s="1" t="s">
        <v>363</v>
      </c>
    </row>
    <row r="165" spans="1:5" x14ac:dyDescent="0.25">
      <c r="A165" t="s">
        <v>361</v>
      </c>
      <c r="B165" s="1" t="s">
        <v>364</v>
      </c>
      <c r="C165">
        <f>VLOOKUP("мария",Данные!A2:C11,3,0)</f>
        <v>980</v>
      </c>
      <c r="E165" s="1" t="s">
        <v>365</v>
      </c>
    </row>
    <row r="166" spans="1:5" x14ac:dyDescent="0.25">
      <c r="A166" t="s">
        <v>361</v>
      </c>
      <c r="B166" s="1" t="s">
        <v>366</v>
      </c>
      <c r="C166" t="e">
        <f>VLOOKUP("Нет",Данные!A2:C11,3,FALSE)</f>
        <v>#N/A</v>
      </c>
      <c r="E166" s="1" t="s">
        <v>367</v>
      </c>
    </row>
    <row r="167" spans="1:5" x14ac:dyDescent="0.25">
      <c r="A167" t="s">
        <v>361</v>
      </c>
      <c r="B167" s="1" t="s">
        <v>368</v>
      </c>
      <c r="C167" t="str">
        <f>VLOOKUP("Ма*",Данные!A2:C11,2,FALSE)</f>
        <v>Продажи</v>
      </c>
      <c r="E167" s="1" t="s">
        <v>369</v>
      </c>
    </row>
    <row r="168" spans="1:5" x14ac:dyDescent="0.25">
      <c r="A168" t="s">
        <v>361</v>
      </c>
      <c r="B168" s="1" t="s">
        <v>370</v>
      </c>
      <c r="C168" t="str">
        <f>VLOOKUP(2500,{0,"мало";1000,"средне";3000,"много"},2)</f>
        <v>средне</v>
      </c>
      <c r="E168" s="1" t="s">
        <v>371</v>
      </c>
    </row>
    <row r="169" spans="1:5" x14ac:dyDescent="0.25">
      <c r="A169" t="s">
        <v>361</v>
      </c>
      <c r="B169" s="1" t="s">
        <v>372</v>
      </c>
      <c r="C169">
        <f>HLOOKUP("Сумма",Данные!A1:H11,3,FALSE)</f>
        <v>230.5</v>
      </c>
      <c r="E169" s="1" t="s">
        <v>373</v>
      </c>
    </row>
    <row r="170" spans="1:5" x14ac:dyDescent="0.25">
      <c r="A170" t="s">
        <v>361</v>
      </c>
      <c r="B170" s="1" t="s">
        <v>374</v>
      </c>
      <c r="C170" t="str">
        <f>LOOKUP(5,{1,4,7},{"a","b","c"})</f>
        <v>b</v>
      </c>
      <c r="E170" s="1" t="s">
        <v>375</v>
      </c>
    </row>
    <row r="171" spans="1:5" x14ac:dyDescent="0.25">
      <c r="A171" t="s">
        <v>361</v>
      </c>
      <c r="B171" s="1" t="s">
        <v>376</v>
      </c>
      <c r="C171">
        <f>MATCH("Олег",Данные!A2:A11,0)</f>
        <v>5</v>
      </c>
      <c r="E171" s="1" t="s">
        <v>377</v>
      </c>
    </row>
    <row r="172" spans="1:5" x14ac:dyDescent="0.25">
      <c r="A172" t="s">
        <v>361</v>
      </c>
      <c r="B172" s="1" t="s">
        <v>378</v>
      </c>
      <c r="C172">
        <f>MATCH(100,{10,50,200},1)</f>
        <v>2</v>
      </c>
      <c r="E172" s="1" t="s">
        <v>379</v>
      </c>
    </row>
    <row r="173" spans="1:5" x14ac:dyDescent="0.25">
      <c r="A173" t="s">
        <v>361</v>
      </c>
      <c r="B173" s="1" t="s">
        <v>380</v>
      </c>
      <c r="C173">
        <f>MATCH(100,{200,50,10},-1)</f>
        <v>1</v>
      </c>
      <c r="E173" s="1" t="s">
        <v>381</v>
      </c>
    </row>
    <row r="174" spans="1:5" x14ac:dyDescent="0.25">
      <c r="A174" t="s">
        <v>361</v>
      </c>
      <c r="B174" s="1" t="s">
        <v>382</v>
      </c>
      <c r="C174">
        <f>INDEX(Данные!A2:C11,4,3)</f>
        <v>4200</v>
      </c>
      <c r="E174" s="1" t="s">
        <v>383</v>
      </c>
    </row>
    <row r="175" spans="1:5" x14ac:dyDescent="0.25">
      <c r="A175" t="s">
        <v>361</v>
      </c>
      <c r="B175" s="1" t="s">
        <v>384</v>
      </c>
      <c r="C175" t="str">
        <f>INDEX(Данные!A2:A11,MATCH("Анна",Данные!A2:A11,0))</f>
        <v>Анна</v>
      </c>
      <c r="E175" s="1" t="s">
        <v>385</v>
      </c>
    </row>
    <row r="176" spans="1:5" x14ac:dyDescent="0.25">
      <c r="A176" t="s">
        <v>361</v>
      </c>
      <c r="B176" s="1" t="s">
        <v>386</v>
      </c>
      <c r="C176">
        <f>INDEX({1,2;3,4},2,1)</f>
        <v>3</v>
      </c>
      <c r="E176" s="1" t="s">
        <v>387</v>
      </c>
    </row>
    <row r="177" spans="1:5" x14ac:dyDescent="0.25">
      <c r="A177" t="s">
        <v>361</v>
      </c>
      <c r="B177" s="1" t="s">
        <v>388</v>
      </c>
      <c r="C177">
        <f>_xlfn.XLOOKUP("Олег",Данные!A2:A11,Данные!C2:C11)</f>
        <v>0</v>
      </c>
      <c r="E177" s="1" t="s">
        <v>389</v>
      </c>
    </row>
    <row r="178" spans="1:5" x14ac:dyDescent="0.25">
      <c r="A178" t="s">
        <v>361</v>
      </c>
      <c r="B178" s="1" t="s">
        <v>390</v>
      </c>
      <c r="C178" t="str">
        <f>_xlfn.XLOOKUP("Нет",Данные!A2:A11,Данные!C2:C11,"не найдено")</f>
        <v>не найдено</v>
      </c>
      <c r="E178" s="1" t="s">
        <v>391</v>
      </c>
    </row>
    <row r="179" spans="1:5" x14ac:dyDescent="0.25">
      <c r="A179" t="s">
        <v>361</v>
      </c>
      <c r="B179" s="1" t="s">
        <v>392</v>
      </c>
      <c r="C179">
        <f>_xlfn.XLOOKUP("Иван",Данные!A2:A11,Данные!C2:C11,,0,-1)</f>
        <v>15.25</v>
      </c>
      <c r="E179" s="1" t="s">
        <v>393</v>
      </c>
    </row>
    <row r="180" spans="1:5" x14ac:dyDescent="0.25">
      <c r="A180" t="s">
        <v>361</v>
      </c>
      <c r="B180" s="1" t="s">
        <v>394</v>
      </c>
      <c r="C180">
        <f>_xlfn.XMATCH("Анна",Данные!A2:A11)</f>
        <v>4</v>
      </c>
      <c r="E180" s="1" t="s">
        <v>395</v>
      </c>
    </row>
    <row r="181" spans="1:5" x14ac:dyDescent="0.25">
      <c r="A181" t="s">
        <v>361</v>
      </c>
      <c r="B181" s="1" t="s">
        <v>396</v>
      </c>
      <c r="C181" t="str">
        <f>CHOOSE(2,"а","б","в")</f>
        <v>б</v>
      </c>
      <c r="E181" s="1" t="s">
        <v>397</v>
      </c>
    </row>
    <row r="182" spans="1:5" x14ac:dyDescent="0.25">
      <c r="A182" t="s">
        <v>361</v>
      </c>
      <c r="B182" s="1" t="s">
        <v>398</v>
      </c>
      <c r="C182">
        <f>ROW(Данные!C5)</f>
        <v>5</v>
      </c>
      <c r="E182" s="1" t="s">
        <v>399</v>
      </c>
    </row>
    <row r="183" spans="1:5" x14ac:dyDescent="0.25">
      <c r="A183" t="s">
        <v>361</v>
      </c>
      <c r="B183" s="1" t="s">
        <v>400</v>
      </c>
      <c r="C183">
        <f>COLUMN(Данные!C5)</f>
        <v>3</v>
      </c>
      <c r="E183" s="1" t="s">
        <v>401</v>
      </c>
    </row>
    <row r="184" spans="1:5" x14ac:dyDescent="0.25">
      <c r="A184" t="s">
        <v>361</v>
      </c>
      <c r="B184" s="1" t="s">
        <v>402</v>
      </c>
      <c r="C184">
        <f>ROWS(Данные!A2:C11)</f>
        <v>10</v>
      </c>
      <c r="E184" s="1" t="s">
        <v>403</v>
      </c>
    </row>
    <row r="185" spans="1:5" x14ac:dyDescent="0.25">
      <c r="A185" t="s">
        <v>361</v>
      </c>
      <c r="B185" s="1" t="s">
        <v>404</v>
      </c>
      <c r="C185">
        <f>COLUMNS(Данные!A2:C11)</f>
        <v>3</v>
      </c>
      <c r="E185" s="1" t="s">
        <v>405</v>
      </c>
    </row>
    <row r="186" spans="1:5" x14ac:dyDescent="0.25">
      <c r="A186" t="s">
        <v>361</v>
      </c>
      <c r="B186" s="1" t="s">
        <v>406</v>
      </c>
      <c r="C186" t="str">
        <f>ADDRESS(2,3)</f>
        <v>$C$2</v>
      </c>
      <c r="E186" s="1" t="s">
        <v>407</v>
      </c>
    </row>
    <row r="187" spans="1:5" x14ac:dyDescent="0.25">
      <c r="A187" t="s">
        <v>361</v>
      </c>
      <c r="B187" s="1" t="s">
        <v>408</v>
      </c>
      <c r="C187" t="str">
        <f>ADDRESS(2,3,4)</f>
        <v>C2</v>
      </c>
      <c r="E187" s="1" t="s">
        <v>409</v>
      </c>
    </row>
    <row r="188" spans="1:5" x14ac:dyDescent="0.25">
      <c r="A188" t="s">
        <v>361</v>
      </c>
      <c r="B188" s="1" t="s">
        <v>410</v>
      </c>
      <c r="C188">
        <f ca="1">SUM(OFFSET(Данные!C2,1,0,3,1))</f>
        <v>5410.5</v>
      </c>
      <c r="E188" s="1" t="s">
        <v>411</v>
      </c>
    </row>
    <row r="189" spans="1:5" x14ac:dyDescent="0.25">
      <c r="A189" t="s">
        <v>361</v>
      </c>
      <c r="B189" s="1" t="s">
        <v>412</v>
      </c>
      <c r="C189" cm="1">
        <f t="array" aca="1" ref="C189" ca="1">INDIRECT("Данные!C3")</f>
        <v>230.5</v>
      </c>
      <c r="E189" s="1" t="s">
        <v>413</v>
      </c>
    </row>
    <row r="190" spans="1:5" x14ac:dyDescent="0.25">
      <c r="A190" t="s">
        <v>361</v>
      </c>
      <c r="B190" s="1" t="s">
        <v>414</v>
      </c>
      <c r="C190">
        <f ca="1">SUM(INDIRECT("Данные!C2:C4"))</f>
        <v>2710.5</v>
      </c>
      <c r="E190" s="1" t="s">
        <v>415</v>
      </c>
    </row>
    <row r="191" spans="1:5" x14ac:dyDescent="0.25">
      <c r="A191" t="s">
        <v>361</v>
      </c>
      <c r="B191" s="1" t="s">
        <v>416</v>
      </c>
      <c r="C191">
        <f>RANK(980,Данные!C2:C11)</f>
        <v>5</v>
      </c>
      <c r="E191" s="1" t="s">
        <v>417</v>
      </c>
    </row>
    <row r="192" spans="1:5" x14ac:dyDescent="0.25">
      <c r="A192" t="s">
        <v>361</v>
      </c>
      <c r="B192" s="1" t="s">
        <v>418</v>
      </c>
      <c r="C192">
        <f>_xlfn.RANK.EQ(980,Данные!C2:C11,1)</f>
        <v>6</v>
      </c>
      <c r="E192" s="1" t="s">
        <v>419</v>
      </c>
    </row>
    <row r="193" spans="1:5" x14ac:dyDescent="0.25">
      <c r="A193" t="s">
        <v>361</v>
      </c>
      <c r="B193" s="1" t="s">
        <v>420</v>
      </c>
      <c r="D193" t="s">
        <v>421</v>
      </c>
    </row>
    <row r="194" spans="1:5" x14ac:dyDescent="0.25">
      <c r="A194" t="s">
        <v>422</v>
      </c>
      <c r="B194" s="1" t="s">
        <v>423</v>
      </c>
      <c r="C194" cm="1">
        <f t="array" ref="C194">SUM(_xlfn._xlws.FILTER(Данные!C2:C11,Данные!B2:B11="Склад"))</f>
        <v>1230.5</v>
      </c>
      <c r="E194" s="1" t="s">
        <v>424</v>
      </c>
    </row>
    <row r="195" spans="1:5" x14ac:dyDescent="0.25">
      <c r="A195" t="s">
        <v>422</v>
      </c>
      <c r="B195" s="1" t="s">
        <v>425</v>
      </c>
      <c r="C195">
        <f>ROWS(_xlfn.UNIQUE(Данные!A2:A11))</f>
        <v>6</v>
      </c>
      <c r="E195" s="1" t="s">
        <v>426</v>
      </c>
    </row>
    <row r="196" spans="1:5" x14ac:dyDescent="0.25">
      <c r="A196" t="s">
        <v>422</v>
      </c>
      <c r="B196" s="1" t="s">
        <v>427</v>
      </c>
      <c r="C196" cm="1">
        <f t="array" ref="C196">INDEX(_xlfn._xlws.SORT(Данные!C2:C11),1)</f>
        <v>-200</v>
      </c>
      <c r="E196" s="1" t="s">
        <v>428</v>
      </c>
    </row>
    <row r="197" spans="1:5" x14ac:dyDescent="0.25">
      <c r="A197" t="s">
        <v>422</v>
      </c>
      <c r="B197" s="1" t="s">
        <v>429</v>
      </c>
      <c r="C197" cm="1">
        <f t="array" ref="C197">INDEX(_xlfn._xlws.SORT(Данные!C2:C11,1,-1),1)</f>
        <v>4200</v>
      </c>
      <c r="E197" s="1" t="s">
        <v>430</v>
      </c>
    </row>
    <row r="198" spans="1:5" x14ac:dyDescent="0.25">
      <c r="A198" t="s">
        <v>422</v>
      </c>
      <c r="B198" s="1" t="s">
        <v>431</v>
      </c>
      <c r="C198" t="str" cm="1">
        <f t="array" ref="C198">INDEX(_xlfn.SORTBY(Данные!A2:A11,Данные!C2:C11,-1),1)</f>
        <v>Анна</v>
      </c>
      <c r="E198" s="1" t="s">
        <v>432</v>
      </c>
    </row>
    <row r="199" spans="1:5" x14ac:dyDescent="0.25">
      <c r="A199" t="s">
        <v>422</v>
      </c>
      <c r="B199" s="1" t="s">
        <v>433</v>
      </c>
      <c r="C199">
        <f>SUM(_xlfn.SEQUENCE(10))</f>
        <v>55</v>
      </c>
      <c r="E199" s="1" t="s">
        <v>434</v>
      </c>
    </row>
    <row r="200" spans="1:5" x14ac:dyDescent="0.25">
      <c r="A200" t="s">
        <v>422</v>
      </c>
      <c r="B200" s="1" t="s">
        <v>435</v>
      </c>
      <c r="C200">
        <f>INDEX(_xlfn.SEQUENCE(3,3,10,5),3,2)</f>
        <v>45</v>
      </c>
      <c r="E200" s="1" t="s">
        <v>436</v>
      </c>
    </row>
    <row r="201" spans="1:5" x14ac:dyDescent="0.25">
      <c r="A201" t="s">
        <v>422</v>
      </c>
      <c r="B201" s="1" t="s">
        <v>437</v>
      </c>
      <c r="C201" t="str" cm="1">
        <f t="array" ref="C201">INDEX(TRANSPOSE(Данные!A2:A4),1,3)</f>
        <v>Мария</v>
      </c>
      <c r="E201" s="1" t="s">
        <v>438</v>
      </c>
    </row>
    <row r="202" spans="1:5" x14ac:dyDescent="0.25">
      <c r="A202" t="s">
        <v>422</v>
      </c>
      <c r="B202" s="1" t="s">
        <v>439</v>
      </c>
      <c r="C202" cm="1">
        <f t="array" ref="C202">SUM({1,2,3}*{4,5,6})</f>
        <v>32</v>
      </c>
      <c r="E202" s="1" t="s">
        <v>440</v>
      </c>
    </row>
    <row r="203" spans="1:5" x14ac:dyDescent="0.25">
      <c r="A203" t="s">
        <v>422</v>
      </c>
      <c r="B203" s="1" t="s">
        <v>441</v>
      </c>
      <c r="C203" cm="1">
        <f t="array" ref="C203">SUM(Данные!C2:C11*(Данные!E2:E11&gt;3))</f>
        <v>1555.25</v>
      </c>
      <c r="E203" s="1" t="s">
        <v>442</v>
      </c>
    </row>
    <row r="204" spans="1:5" x14ac:dyDescent="0.25">
      <c r="A204" t="s">
        <v>422</v>
      </c>
      <c r="B204" s="1" t="s">
        <v>443</v>
      </c>
      <c r="C204" cm="1">
        <f t="array" ref="C204">MAX(IF(Данные!B2:B11="Продажи",Данные!C2:C11))</f>
        <v>1500</v>
      </c>
      <c r="E204" s="1" t="s">
        <v>444</v>
      </c>
    </row>
    <row r="205" spans="1:5" x14ac:dyDescent="0.25">
      <c r="A205" t="s">
        <v>422</v>
      </c>
      <c r="B205" s="1" t="s">
        <v>445</v>
      </c>
      <c r="C205" t="str">
        <f>_xlfn.TEXTJOIN(";",TRUE,_xlfn.UNIQUE(Данные!B2:B11))</f>
        <v>Продажи;Склад;Бухгалтерия</v>
      </c>
      <c r="E205" s="1" t="s">
        <v>446</v>
      </c>
    </row>
    <row r="206" spans="1:5" x14ac:dyDescent="0.25">
      <c r="A206" t="s">
        <v>422</v>
      </c>
      <c r="B206" s="1" t="s">
        <v>447</v>
      </c>
      <c r="C206">
        <f>SUM({1,2;3,4})</f>
        <v>10</v>
      </c>
      <c r="E206" s="1" t="s">
        <v>448</v>
      </c>
    </row>
    <row r="207" spans="1:5" x14ac:dyDescent="0.25">
      <c r="A207" t="s">
        <v>422</v>
      </c>
      <c r="B207" s="1" t="s">
        <v>449</v>
      </c>
      <c r="C207" cm="1">
        <f t="array" ref="C207">INDEX({1,2;3,4}*10,2,2)</f>
        <v>40</v>
      </c>
      <c r="E207" s="1" t="s">
        <v>450</v>
      </c>
    </row>
    <row r="208" spans="1:5" x14ac:dyDescent="0.25">
      <c r="A208" t="s">
        <v>422</v>
      </c>
      <c r="B208" s="1" t="s">
        <v>451</v>
      </c>
      <c r="C208" cm="1">
        <f t="array" ref="C208">SUM(-{1,2,3})</f>
        <v>-6</v>
      </c>
      <c r="E208" s="1" t="s">
        <v>452</v>
      </c>
    </row>
    <row r="209" spans="1:5" x14ac:dyDescent="0.25">
      <c r="A209" t="s">
        <v>422</v>
      </c>
      <c r="B209" s="1" t="s">
        <v>453</v>
      </c>
      <c r="C209" cm="1">
        <f t="array" ref="C209">COUNT(IF(Данные!C2:C11&gt;500,1,""))</f>
        <v>6</v>
      </c>
      <c r="E209" s="1" t="s">
        <v>454</v>
      </c>
    </row>
    <row r="210" spans="1:5" x14ac:dyDescent="0.25">
      <c r="A210" t="s">
        <v>422</v>
      </c>
      <c r="B210" s="1" t="s">
        <v>455</v>
      </c>
      <c r="C210" cm="1">
        <f t="array" ref="C210">SUM(IFERROR(1/(Данные!E2:E11-3),0))</f>
        <v>-0.71666666666666679</v>
      </c>
      <c r="E210" s="1" t="s">
        <v>456</v>
      </c>
    </row>
    <row r="211" spans="1:5" x14ac:dyDescent="0.25">
      <c r="A211" t="s">
        <v>422</v>
      </c>
      <c r="B211" s="1" t="s">
        <v>457</v>
      </c>
      <c r="C211">
        <f>ROWS(_xlfn.SEQUENCE(5,2))</f>
        <v>5</v>
      </c>
      <c r="E211" s="1" t="s">
        <v>458</v>
      </c>
    </row>
    <row r="212" spans="1:5" x14ac:dyDescent="0.25">
      <c r="A212" t="s">
        <v>422</v>
      </c>
      <c r="B212" s="1" t="s">
        <v>459</v>
      </c>
      <c r="C212">
        <f>COLUMNS(Данные!A1:H1)</f>
        <v>8</v>
      </c>
      <c r="E212" s="1" t="s">
        <v>460</v>
      </c>
    </row>
    <row r="213" spans="1:5" x14ac:dyDescent="0.25">
      <c r="A213" t="s">
        <v>422</v>
      </c>
      <c r="B213" s="1" t="s">
        <v>461</v>
      </c>
      <c r="C213" cm="1">
        <f t="array" ref="C213">SUM(LEN(Данные!A2:A11))</f>
        <v>43</v>
      </c>
      <c r="E213" s="1" t="s">
        <v>462</v>
      </c>
    </row>
    <row r="214" spans="1:5" x14ac:dyDescent="0.25">
      <c r="A214" t="s">
        <v>7</v>
      </c>
      <c r="B214" s="1" t="s">
        <v>463</v>
      </c>
      <c r="C214">
        <f>LEN(Данные!H2)</f>
        <v>15</v>
      </c>
      <c r="E214" s="1" t="s">
        <v>464</v>
      </c>
    </row>
    <row r="215" spans="1:5" x14ac:dyDescent="0.25">
      <c r="A215" t="s">
        <v>7</v>
      </c>
      <c r="B215" s="1" t="s">
        <v>465</v>
      </c>
      <c r="C215" t="str">
        <f>TRIM(Данные!H2)</f>
        <v>Привет мир</v>
      </c>
      <c r="E215" s="1" t="s">
        <v>466</v>
      </c>
    </row>
    <row r="216" spans="1:5" x14ac:dyDescent="0.25">
      <c r="A216" t="s">
        <v>7</v>
      </c>
      <c r="B216" s="1" t="s">
        <v>467</v>
      </c>
      <c r="C216" t="str">
        <f>UPPER(Данные!H3)</f>
        <v>ABC</v>
      </c>
      <c r="E216" s="1" t="s">
        <v>468</v>
      </c>
    </row>
    <row r="217" spans="1:5" x14ac:dyDescent="0.25">
      <c r="A217" t="s">
        <v>7</v>
      </c>
      <c r="B217" s="1" t="s">
        <v>469</v>
      </c>
      <c r="C217" t="str">
        <f>LOWER("ПрИвЕт")</f>
        <v>привет</v>
      </c>
      <c r="E217" s="1" t="s">
        <v>470</v>
      </c>
    </row>
    <row r="218" spans="1:5" x14ac:dyDescent="0.25">
      <c r="A218" t="s">
        <v>7</v>
      </c>
      <c r="B218" s="1" t="s">
        <v>471</v>
      </c>
      <c r="C218" t="str">
        <f>PROPER("иванов иван")</f>
        <v>Иванов Иван</v>
      </c>
      <c r="E218" s="1" t="s">
        <v>472</v>
      </c>
    </row>
    <row r="219" spans="1:5" x14ac:dyDescent="0.25">
      <c r="A219" t="s">
        <v>7</v>
      </c>
      <c r="B219" s="1" t="s">
        <v>473</v>
      </c>
      <c r="C219" t="str">
        <f>LEFT(Данные!H5,6)</f>
        <v>Иванов</v>
      </c>
      <c r="E219" s="1" t="s">
        <v>474</v>
      </c>
    </row>
    <row r="220" spans="1:5" x14ac:dyDescent="0.25">
      <c r="A220" t="s">
        <v>7</v>
      </c>
      <c r="B220" s="1" t="s">
        <v>475</v>
      </c>
      <c r="C220" t="str">
        <f>RIGHT(Данные!H4,3)</f>
        <v>123</v>
      </c>
      <c r="E220" s="1" t="s">
        <v>476</v>
      </c>
    </row>
    <row r="221" spans="1:5" x14ac:dyDescent="0.25">
      <c r="A221" t="s">
        <v>7</v>
      </c>
      <c r="B221" s="1" t="s">
        <v>477</v>
      </c>
      <c r="C221" t="str">
        <f>MID(Данные!H5,8,4)</f>
        <v>Иван</v>
      </c>
      <c r="E221" s="1" t="s">
        <v>478</v>
      </c>
    </row>
    <row r="222" spans="1:5" x14ac:dyDescent="0.25">
      <c r="A222" t="s">
        <v>7</v>
      </c>
      <c r="B222" s="1" t="s">
        <v>479</v>
      </c>
      <c r="C222" t="str">
        <f>LEFT("abc")</f>
        <v>a</v>
      </c>
      <c r="E222" s="1" t="s">
        <v>480</v>
      </c>
    </row>
    <row r="223" spans="1:5" x14ac:dyDescent="0.25">
      <c r="A223" t="s">
        <v>7</v>
      </c>
      <c r="B223" s="1" t="s">
        <v>481</v>
      </c>
      <c r="C223">
        <f>FIND("-",Данные!H4)</f>
        <v>4</v>
      </c>
      <c r="E223" s="1" t="s">
        <v>482</v>
      </c>
    </row>
    <row r="224" spans="1:5" x14ac:dyDescent="0.25">
      <c r="A224" t="s">
        <v>7</v>
      </c>
      <c r="B224" s="1" t="s">
        <v>483</v>
      </c>
      <c r="C224" t="e">
        <f>FIND("z","abc")</f>
        <v>#VALUE!</v>
      </c>
      <c r="E224" s="1" t="s">
        <v>484</v>
      </c>
    </row>
    <row r="225" spans="1:5" x14ac:dyDescent="0.25">
      <c r="A225" t="s">
        <v>7</v>
      </c>
      <c r="B225" s="1" t="s">
        <v>485</v>
      </c>
      <c r="C225">
        <f>SEARCH("иван",Данные!H5)</f>
        <v>1</v>
      </c>
      <c r="E225" s="1" t="s">
        <v>486</v>
      </c>
    </row>
    <row r="226" spans="1:5" x14ac:dyDescent="0.25">
      <c r="A226" t="s">
        <v>7</v>
      </c>
      <c r="B226" s="1" t="s">
        <v>487</v>
      </c>
      <c r="C226">
        <f>SEARCH("?ва",Данные!H5)</f>
        <v>1</v>
      </c>
      <c r="E226" s="1" t="s">
        <v>488</v>
      </c>
    </row>
    <row r="227" spans="1:5" x14ac:dyDescent="0.25">
      <c r="A227" t="s">
        <v>7</v>
      </c>
      <c r="B227" s="1" t="s">
        <v>489</v>
      </c>
      <c r="C227" t="str">
        <f>SUBSTITUTE(Данные!H6,",",";")</f>
        <v>a;b;c</v>
      </c>
      <c r="E227" s="1" t="s">
        <v>490</v>
      </c>
    </row>
    <row r="228" spans="1:5" x14ac:dyDescent="0.25">
      <c r="A228" t="s">
        <v>7</v>
      </c>
      <c r="B228" s="1" t="s">
        <v>491</v>
      </c>
      <c r="C228" t="str">
        <f>SUBSTITUTE("a-a-a","a","b",2)</f>
        <v>a-b-a</v>
      </c>
      <c r="E228" s="1" t="s">
        <v>492</v>
      </c>
    </row>
    <row r="229" spans="1:5" x14ac:dyDescent="0.25">
      <c r="A229" t="s">
        <v>7</v>
      </c>
      <c r="B229" s="1" t="s">
        <v>493</v>
      </c>
      <c r="C229" t="str">
        <f>REPLACE("abcdef",2,3,"X")</f>
        <v>aXef</v>
      </c>
      <c r="E229" s="1" t="s">
        <v>494</v>
      </c>
    </row>
    <row r="230" spans="1:5" x14ac:dyDescent="0.25">
      <c r="A230" t="s">
        <v>7</v>
      </c>
      <c r="B230" s="1" t="s">
        <v>495</v>
      </c>
      <c r="C230" t="str">
        <f>REPT("ab",3)</f>
        <v>ababab</v>
      </c>
      <c r="E230" s="1" t="s">
        <v>496</v>
      </c>
    </row>
    <row r="231" spans="1:5" x14ac:dyDescent="0.25">
      <c r="A231" t="s">
        <v>7</v>
      </c>
      <c r="B231" s="1" t="s">
        <v>497</v>
      </c>
      <c r="C231" t="str">
        <f>CONCATENATE("a",1,TRUE)</f>
        <v>a1ИСТИНА</v>
      </c>
      <c r="E231" s="1" t="s">
        <v>498</v>
      </c>
    </row>
    <row r="232" spans="1:5" x14ac:dyDescent="0.25">
      <c r="A232" t="s">
        <v>7</v>
      </c>
      <c r="B232" s="1" t="s">
        <v>499</v>
      </c>
      <c r="C232" t="str">
        <f>_xlfn.CONCAT(Данные!A2:A4)</f>
        <v>ИванПётрМария</v>
      </c>
      <c r="E232" s="1" t="s">
        <v>500</v>
      </c>
    </row>
    <row r="233" spans="1:5" x14ac:dyDescent="0.25">
      <c r="A233" t="s">
        <v>7</v>
      </c>
      <c r="B233" s="1" t="s">
        <v>501</v>
      </c>
      <c r="C233" t="str">
        <f>_xlfn.TEXTJOIN(", ",TRUE,Данные!A2:A5)</f>
        <v>Иван, Пётр, Мария, Анна</v>
      </c>
      <c r="E233" s="1" t="s">
        <v>502</v>
      </c>
    </row>
    <row r="234" spans="1:5" x14ac:dyDescent="0.25">
      <c r="A234" t="s">
        <v>7</v>
      </c>
      <c r="B234" s="1" t="s">
        <v>503</v>
      </c>
      <c r="C234" t="str">
        <f>_xlfn.TEXTJOIN("-",FALSE,"a","","b")</f>
        <v>a--b</v>
      </c>
      <c r="E234" s="1" t="s">
        <v>504</v>
      </c>
    </row>
    <row r="235" spans="1:5" x14ac:dyDescent="0.25">
      <c r="A235" t="s">
        <v>7</v>
      </c>
      <c r="B235" s="1" t="s">
        <v>505</v>
      </c>
      <c r="C235" t="b">
        <f>EXACT("abc","ABC")</f>
        <v>0</v>
      </c>
      <c r="E235" s="1" t="s">
        <v>506</v>
      </c>
    </row>
    <row r="236" spans="1:5" x14ac:dyDescent="0.25">
      <c r="A236" t="s">
        <v>7</v>
      </c>
      <c r="B236" s="1" t="s">
        <v>507</v>
      </c>
      <c r="C236" t="str">
        <f>CHAR(65)</f>
        <v>A</v>
      </c>
      <c r="E236" s="1" t="s">
        <v>508</v>
      </c>
    </row>
    <row r="237" spans="1:5" x14ac:dyDescent="0.25">
      <c r="A237" t="s">
        <v>7</v>
      </c>
      <c r="B237" s="1" t="s">
        <v>509</v>
      </c>
      <c r="C237">
        <f>CODE("A")</f>
        <v>65</v>
      </c>
      <c r="E237" s="1" t="s">
        <v>510</v>
      </c>
    </row>
    <row r="238" spans="1:5" x14ac:dyDescent="0.25">
      <c r="A238" t="s">
        <v>7</v>
      </c>
      <c r="B238" s="1" t="s">
        <v>511</v>
      </c>
      <c r="C238" t="str">
        <f>_xlfn.UNICHAR(1046)</f>
        <v>Ж</v>
      </c>
      <c r="E238" s="1" t="s">
        <v>512</v>
      </c>
    </row>
    <row r="239" spans="1:5" x14ac:dyDescent="0.25">
      <c r="A239" t="s">
        <v>7</v>
      </c>
      <c r="B239" s="1" t="s">
        <v>513</v>
      </c>
      <c r="C239">
        <f>_xlfn.UNICODE("Ж")</f>
        <v>1046</v>
      </c>
      <c r="E239" s="1" t="s">
        <v>514</v>
      </c>
    </row>
    <row r="240" spans="1:5" x14ac:dyDescent="0.25">
      <c r="A240" t="s">
        <v>7</v>
      </c>
      <c r="B240" s="1" t="s">
        <v>515</v>
      </c>
      <c r="C240" t="str">
        <f>CLEAN("a"&amp;CHAR(10)&amp;"b")</f>
        <v>ab</v>
      </c>
      <c r="E240" s="1" t="s">
        <v>516</v>
      </c>
    </row>
    <row r="241" spans="1:5" x14ac:dyDescent="0.25">
      <c r="A241" t="s">
        <v>7</v>
      </c>
      <c r="B241" s="1" t="s">
        <v>517</v>
      </c>
      <c r="C241">
        <f>VALUE("1 234,5")</f>
        <v>1234.5</v>
      </c>
      <c r="E241" s="1" t="s">
        <v>518</v>
      </c>
    </row>
    <row r="242" spans="1:5" x14ac:dyDescent="0.25">
      <c r="A242" t="s">
        <v>7</v>
      </c>
      <c r="B242" s="1" t="s">
        <v>519</v>
      </c>
      <c r="C242">
        <f>VALUE("12%")</f>
        <v>0.12</v>
      </c>
      <c r="E242" s="1" t="s">
        <v>520</v>
      </c>
    </row>
    <row r="243" spans="1:5" x14ac:dyDescent="0.25">
      <c r="A243" t="s">
        <v>7</v>
      </c>
      <c r="B243" s="1" t="s">
        <v>521</v>
      </c>
      <c r="C243" t="e">
        <f>VALUE("abc")</f>
        <v>#VALUE!</v>
      </c>
      <c r="E243" s="1" t="s">
        <v>522</v>
      </c>
    </row>
    <row r="244" spans="1:5" x14ac:dyDescent="0.25">
      <c r="A244" t="s">
        <v>7</v>
      </c>
      <c r="B244" s="1" t="s">
        <v>523</v>
      </c>
      <c r="C244">
        <f>_xlfn.NUMBERVALUE("1.234,5",",",".")</f>
        <v>1234.5</v>
      </c>
      <c r="E244" s="1" t="s">
        <v>524</v>
      </c>
    </row>
    <row r="245" spans="1:5" x14ac:dyDescent="0.25">
      <c r="A245" t="s">
        <v>7</v>
      </c>
      <c r="B245" s="1" t="s">
        <v>525</v>
      </c>
      <c r="C245" t="str">
        <f>T(Данные!H3)</f>
        <v>abc</v>
      </c>
      <c r="E245" s="1" t="s">
        <v>526</v>
      </c>
    </row>
    <row r="246" spans="1:5" x14ac:dyDescent="0.25">
      <c r="A246" t="s">
        <v>7</v>
      </c>
      <c r="B246" s="1" t="s">
        <v>527</v>
      </c>
      <c r="C246" t="str">
        <f>T(5)</f>
        <v/>
      </c>
      <c r="E246" s="1" t="s">
        <v>528</v>
      </c>
    </row>
    <row r="247" spans="1:5" x14ac:dyDescent="0.25">
      <c r="A247" t="s">
        <v>7</v>
      </c>
      <c r="B247" s="1" t="s">
        <v>529</v>
      </c>
      <c r="C247" t="e">
        <f>TEXT(1234.567,"0.00")</f>
        <v>#VALUE!</v>
      </c>
      <c r="E247" s="1" t="s">
        <v>530</v>
      </c>
    </row>
    <row r="248" spans="1:5" x14ac:dyDescent="0.25">
      <c r="A248" t="s">
        <v>7</v>
      </c>
      <c r="B248" s="1" t="s">
        <v>531</v>
      </c>
      <c r="C248" t="str">
        <f>TEXT(1234.567,"# ##0,00")</f>
        <v>1 234,57</v>
      </c>
      <c r="E248" s="1" t="s">
        <v>532</v>
      </c>
    </row>
    <row r="249" spans="1:5" x14ac:dyDescent="0.25">
      <c r="A249" t="s">
        <v>7</v>
      </c>
      <c r="B249" s="1" t="s">
        <v>533</v>
      </c>
      <c r="C249" t="str">
        <f>TEXT(0.256,"0%")</f>
        <v>26%</v>
      </c>
      <c r="E249" s="1" t="s">
        <v>534</v>
      </c>
    </row>
    <row r="250" spans="1:5" x14ac:dyDescent="0.25">
      <c r="A250" t="s">
        <v>7</v>
      </c>
      <c r="B250" s="1" t="s">
        <v>535</v>
      </c>
      <c r="C250" t="str">
        <f>TEXT(46301,"ДД.ММ.ГГГГ")</f>
        <v>06.10.2026</v>
      </c>
      <c r="E250" s="1" t="s">
        <v>536</v>
      </c>
    </row>
    <row r="251" spans="1:5" x14ac:dyDescent="0.25">
      <c r="A251" t="s">
        <v>7</v>
      </c>
      <c r="B251" s="1" t="s">
        <v>537</v>
      </c>
      <c r="C251" t="str">
        <f>TEXT(46301,"dd.mm.yyyy")</f>
        <v>dd.mm.yyyy</v>
      </c>
      <c r="E251" s="1" t="s">
        <v>538</v>
      </c>
    </row>
    <row r="252" spans="1:5" x14ac:dyDescent="0.25">
      <c r="A252" t="s">
        <v>7</v>
      </c>
      <c r="B252" s="1" t="s">
        <v>539</v>
      </c>
      <c r="C252" t="str">
        <f>TEXT(46301,"ДДДД")</f>
        <v>вторник</v>
      </c>
      <c r="E252" s="1" t="s">
        <v>540</v>
      </c>
    </row>
    <row r="253" spans="1:5" x14ac:dyDescent="0.25">
      <c r="A253" t="s">
        <v>7</v>
      </c>
      <c r="B253" s="1" t="s">
        <v>541</v>
      </c>
      <c r="C253" t="str">
        <f>TEXT(46301,"ММММ ГГГГ")</f>
        <v>Октябрь 2026</v>
      </c>
      <c r="E253" s="1" t="s">
        <v>542</v>
      </c>
    </row>
    <row r="254" spans="1:5" x14ac:dyDescent="0.25">
      <c r="A254" t="s">
        <v>7</v>
      </c>
      <c r="B254" s="1" t="s">
        <v>543</v>
      </c>
      <c r="C254" t="str">
        <f>FIXED(1234.567,1)</f>
        <v>1 234,6</v>
      </c>
      <c r="E254" s="1" t="s">
        <v>544</v>
      </c>
    </row>
    <row r="255" spans="1:5" x14ac:dyDescent="0.25">
      <c r="A255" t="s">
        <v>7</v>
      </c>
      <c r="B255" s="1" t="s">
        <v>545</v>
      </c>
      <c r="C255" t="str">
        <f>DOLLAR(1234.5)</f>
        <v>1 234,50 ₽</v>
      </c>
      <c r="E255" s="1" t="s">
        <v>546</v>
      </c>
    </row>
    <row r="256" spans="1:5" x14ac:dyDescent="0.25">
      <c r="A256" t="s">
        <v>7</v>
      </c>
      <c r="B256" s="1" t="s">
        <v>547</v>
      </c>
      <c r="C256" t="e" cm="1">
        <f t="array" aca="1" ref="C256" ca="1">TEXTBEFORE(Данные!H8,":")</f>
        <v>#NAME?</v>
      </c>
      <c r="E256" s="1" t="s">
        <v>548</v>
      </c>
    </row>
    <row r="257" spans="1:5" x14ac:dyDescent="0.25">
      <c r="A257" t="s">
        <v>7</v>
      </c>
      <c r="B257" s="1" t="s">
        <v>549</v>
      </c>
      <c r="C257" t="e" cm="1">
        <f t="array" aca="1" ref="C257" ca="1">TEXTAFTER(Данные!H8,": ")</f>
        <v>#NAME?</v>
      </c>
      <c r="E257" s="1" t="s">
        <v>550</v>
      </c>
    </row>
    <row r="258" spans="1:5" x14ac:dyDescent="0.25">
      <c r="A258" t="s">
        <v>7</v>
      </c>
      <c r="B258" s="1" t="s">
        <v>551</v>
      </c>
      <c r="C258" t="e" cm="1">
        <f t="array" aca="1" ref="C258" ca="1">INDEX(TEXTSPLIT(Данные!H6,","),2)</f>
        <v>#NAME?</v>
      </c>
      <c r="E258" s="1" t="s">
        <v>552</v>
      </c>
    </row>
    <row r="259" spans="1:5" x14ac:dyDescent="0.25">
      <c r="A259" t="s">
        <v>7</v>
      </c>
      <c r="B259" s="1" t="s">
        <v>553</v>
      </c>
      <c r="C259">
        <f>LEN(Данные!H5)-LEN(SUBSTITUTE(Данные!H5," ",""))+1</f>
        <v>3</v>
      </c>
      <c r="E259" s="1" t="s">
        <v>554</v>
      </c>
    </row>
    <row r="260" spans="1:5" x14ac:dyDescent="0.25">
      <c r="A260" t="s">
        <v>7</v>
      </c>
      <c r="B260" s="1" t="s">
        <v>555</v>
      </c>
      <c r="C260" t="str">
        <f>Данные!A2&amp;" ("&amp;Данные!B2&amp;")"</f>
        <v>Иван (Продажи)</v>
      </c>
      <c r="E260" s="1" t="s">
        <v>556</v>
      </c>
    </row>
    <row r="261" spans="1:5" x14ac:dyDescent="0.25">
      <c r="A261" t="s">
        <v>557</v>
      </c>
      <c r="B261" s="1" t="s">
        <v>558</v>
      </c>
      <c r="C261" s="3">
        <f>DATE(2026,10,10)</f>
        <v>46305</v>
      </c>
      <c r="E261" s="1" t="s">
        <v>559</v>
      </c>
    </row>
    <row r="262" spans="1:5" x14ac:dyDescent="0.25">
      <c r="A262" t="s">
        <v>557</v>
      </c>
      <c r="B262" s="1" t="s">
        <v>560</v>
      </c>
      <c r="C262" s="3">
        <f>DATE(2026,13,1)</f>
        <v>46388</v>
      </c>
      <c r="E262" s="1" t="s">
        <v>561</v>
      </c>
    </row>
    <row r="263" spans="1:5" x14ac:dyDescent="0.25">
      <c r="A263" t="s">
        <v>557</v>
      </c>
      <c r="B263" s="1" t="s">
        <v>562</v>
      </c>
      <c r="C263" s="3">
        <f>DATE(2026,1,0)</f>
        <v>46022</v>
      </c>
      <c r="E263" s="1" t="s">
        <v>563</v>
      </c>
    </row>
    <row r="264" spans="1:5" x14ac:dyDescent="0.25">
      <c r="A264" t="s">
        <v>557</v>
      </c>
      <c r="B264" s="1" t="s">
        <v>564</v>
      </c>
      <c r="C264" s="3">
        <f>DATE(26,1,1)</f>
        <v>9498</v>
      </c>
      <c r="E264" s="1" t="s">
        <v>565</v>
      </c>
    </row>
    <row r="265" spans="1:5" x14ac:dyDescent="0.25">
      <c r="A265" t="s">
        <v>557</v>
      </c>
      <c r="B265" s="1" t="s">
        <v>566</v>
      </c>
      <c r="C265">
        <f>YEAR(Данные!D2)</f>
        <v>2026</v>
      </c>
      <c r="E265" s="1" t="s">
        <v>567</v>
      </c>
    </row>
    <row r="266" spans="1:5" x14ac:dyDescent="0.25">
      <c r="A266" t="s">
        <v>557</v>
      </c>
      <c r="B266" s="1" t="s">
        <v>568</v>
      </c>
      <c r="C266">
        <f>MONTH(Данные!D3)</f>
        <v>2</v>
      </c>
      <c r="E266" s="1" t="s">
        <v>569</v>
      </c>
    </row>
    <row r="267" spans="1:5" x14ac:dyDescent="0.25">
      <c r="A267" t="s">
        <v>557</v>
      </c>
      <c r="B267" s="1" t="s">
        <v>570</v>
      </c>
      <c r="C267">
        <f>DAY(Данные!D6)</f>
        <v>29</v>
      </c>
      <c r="E267" s="1" t="s">
        <v>571</v>
      </c>
    </row>
    <row r="268" spans="1:5" x14ac:dyDescent="0.25">
      <c r="A268" t="s">
        <v>557</v>
      </c>
      <c r="B268" s="1" t="s">
        <v>572</v>
      </c>
      <c r="C268" s="3">
        <f>DATE(1900,2,29)</f>
        <v>60</v>
      </c>
      <c r="E268" s="1" t="s">
        <v>573</v>
      </c>
    </row>
    <row r="269" spans="1:5" x14ac:dyDescent="0.25">
      <c r="A269" t="s">
        <v>557</v>
      </c>
      <c r="B269" s="1" t="s">
        <v>574</v>
      </c>
      <c r="C269" s="3">
        <f>DATE(1900,3,1)</f>
        <v>61</v>
      </c>
      <c r="E269" s="1" t="s">
        <v>575</v>
      </c>
    </row>
    <row r="270" spans="1:5" x14ac:dyDescent="0.25">
      <c r="A270" t="s">
        <v>557</v>
      </c>
      <c r="B270" s="1" t="s">
        <v>576</v>
      </c>
      <c r="C270">
        <f>WEEKDAY(Данные!D2)</f>
        <v>5</v>
      </c>
      <c r="E270" s="1" t="s">
        <v>577</v>
      </c>
    </row>
    <row r="271" spans="1:5" x14ac:dyDescent="0.25">
      <c r="A271" t="s">
        <v>557</v>
      </c>
      <c r="B271" s="1" t="s">
        <v>578</v>
      </c>
      <c r="C271">
        <f>WEEKDAY(Данные!D2,2)</f>
        <v>4</v>
      </c>
      <c r="E271" s="1" t="s">
        <v>579</v>
      </c>
    </row>
    <row r="272" spans="1:5" x14ac:dyDescent="0.25">
      <c r="A272" t="s">
        <v>557</v>
      </c>
      <c r="B272" s="1" t="s">
        <v>580</v>
      </c>
      <c r="C272">
        <f>WEEKNUM(Данные!D2,2)</f>
        <v>3</v>
      </c>
      <c r="E272" s="1" t="s">
        <v>581</v>
      </c>
    </row>
    <row r="273" spans="1:5" x14ac:dyDescent="0.25">
      <c r="A273" t="s">
        <v>557</v>
      </c>
      <c r="B273" s="1" t="s">
        <v>582</v>
      </c>
      <c r="C273">
        <f>_xlfn.ISOWEEKNUM(Данные!D2)</f>
        <v>3</v>
      </c>
      <c r="E273" s="1" t="s">
        <v>583</v>
      </c>
    </row>
    <row r="274" spans="1:5" x14ac:dyDescent="0.25">
      <c r="A274" t="s">
        <v>557</v>
      </c>
      <c r="B274" s="1" t="s">
        <v>584</v>
      </c>
      <c r="C274">
        <f>EDATE(Данные!D2,1)</f>
        <v>46068</v>
      </c>
      <c r="E274" s="1" t="s">
        <v>585</v>
      </c>
    </row>
    <row r="275" spans="1:5" x14ac:dyDescent="0.25">
      <c r="A275" t="s">
        <v>557</v>
      </c>
      <c r="B275" s="1" t="s">
        <v>586</v>
      </c>
      <c r="C275">
        <f>EDATE(DATE(2026,1,31),1)</f>
        <v>46081</v>
      </c>
      <c r="E275" s="1" t="s">
        <v>587</v>
      </c>
    </row>
    <row r="276" spans="1:5" x14ac:dyDescent="0.25">
      <c r="A276" t="s">
        <v>557</v>
      </c>
      <c r="B276" s="1" t="s">
        <v>588</v>
      </c>
      <c r="C276">
        <f>EOMONTH(Данные!D2,0)</f>
        <v>46053</v>
      </c>
      <c r="E276" s="1" t="s">
        <v>589</v>
      </c>
    </row>
    <row r="277" spans="1:5" x14ac:dyDescent="0.25">
      <c r="A277" t="s">
        <v>557</v>
      </c>
      <c r="B277" s="1" t="s">
        <v>590</v>
      </c>
      <c r="C277">
        <f>EOMONTH(Данные!D2,-1)</f>
        <v>46022</v>
      </c>
      <c r="E277" s="1" t="s">
        <v>591</v>
      </c>
    </row>
    <row r="278" spans="1:5" x14ac:dyDescent="0.25">
      <c r="A278" t="s">
        <v>557</v>
      </c>
      <c r="B278" s="1" t="s">
        <v>592</v>
      </c>
      <c r="C278">
        <f>WORKDAY(Данные!D2,10)</f>
        <v>46051</v>
      </c>
      <c r="E278" s="1" t="s">
        <v>593</v>
      </c>
    </row>
    <row r="279" spans="1:5" x14ac:dyDescent="0.25">
      <c r="A279" t="s">
        <v>557</v>
      </c>
      <c r="B279" s="1" t="s">
        <v>594</v>
      </c>
      <c r="C279">
        <f>WORKDAY.INTL(Данные!D2,10,11)</f>
        <v>46049</v>
      </c>
      <c r="E279" s="1" t="s">
        <v>595</v>
      </c>
    </row>
    <row r="280" spans="1:5" x14ac:dyDescent="0.25">
      <c r="A280" t="s">
        <v>557</v>
      </c>
      <c r="B280" s="1" t="s">
        <v>596</v>
      </c>
      <c r="C280">
        <f>NETWORKDAYS(Данные!D2,Данные!D3)</f>
        <v>32</v>
      </c>
      <c r="E280" s="1" t="s">
        <v>597</v>
      </c>
    </row>
    <row r="281" spans="1:5" x14ac:dyDescent="0.25">
      <c r="A281" t="s">
        <v>557</v>
      </c>
      <c r="B281" s="1" t="s">
        <v>598</v>
      </c>
      <c r="C281">
        <f>NETWORKDAYS.INTL(Данные!D2,Данные!D3,1)</f>
        <v>32</v>
      </c>
      <c r="E281" s="1" t="s">
        <v>599</v>
      </c>
    </row>
    <row r="282" spans="1:5" x14ac:dyDescent="0.25">
      <c r="A282" t="s">
        <v>557</v>
      </c>
      <c r="B282" s="1" t="s">
        <v>600</v>
      </c>
      <c r="C282">
        <f>DATEDIF(Данные!D6,Данные!D2,"y")</f>
        <v>1</v>
      </c>
      <c r="E282" s="1" t="s">
        <v>601</v>
      </c>
    </row>
    <row r="283" spans="1:5" x14ac:dyDescent="0.25">
      <c r="A283" t="s">
        <v>557</v>
      </c>
      <c r="B283" s="1" t="s">
        <v>602</v>
      </c>
      <c r="C283">
        <f>DATEDIF(Данные!D6,Данные!D2,"m")</f>
        <v>22</v>
      </c>
      <c r="E283" s="1" t="s">
        <v>603</v>
      </c>
    </row>
    <row r="284" spans="1:5" x14ac:dyDescent="0.25">
      <c r="A284" t="s">
        <v>557</v>
      </c>
      <c r="B284" s="1" t="s">
        <v>604</v>
      </c>
      <c r="C284">
        <f>DATEDIF(Данные!D6,Данные!D2,"md")</f>
        <v>17</v>
      </c>
      <c r="E284" s="1" t="s">
        <v>605</v>
      </c>
    </row>
    <row r="285" spans="1:5" x14ac:dyDescent="0.25">
      <c r="A285" t="s">
        <v>557</v>
      </c>
      <c r="B285" s="1" t="s">
        <v>606</v>
      </c>
      <c r="C285">
        <f>_xlfn.DAYS(Данные!D3,Данные!D2)</f>
        <v>44</v>
      </c>
      <c r="E285" s="1" t="s">
        <v>607</v>
      </c>
    </row>
    <row r="286" spans="1:5" x14ac:dyDescent="0.25">
      <c r="A286" t="s">
        <v>557</v>
      </c>
      <c r="B286" s="1" t="s">
        <v>608</v>
      </c>
      <c r="C286">
        <f>Данные!D3-Данные!D2</f>
        <v>44</v>
      </c>
      <c r="E286" s="1" t="s">
        <v>609</v>
      </c>
    </row>
    <row r="287" spans="1:5" x14ac:dyDescent="0.25">
      <c r="A287" t="s">
        <v>557</v>
      </c>
      <c r="B287" s="1" t="s">
        <v>610</v>
      </c>
      <c r="C287">
        <f>YEARFRAC(Данные!D2,Данные!D3)</f>
        <v>0.11944444444444445</v>
      </c>
      <c r="E287" s="1" t="s">
        <v>611</v>
      </c>
    </row>
    <row r="288" spans="1:5" x14ac:dyDescent="0.25">
      <c r="A288" t="s">
        <v>557</v>
      </c>
      <c r="B288" s="1" t="s">
        <v>612</v>
      </c>
      <c r="C288">
        <f>YEARFRAC(Данные!D2,Данные!D3,1)</f>
        <v>0.12054794520547946</v>
      </c>
      <c r="E288" s="1" t="s">
        <v>613</v>
      </c>
    </row>
    <row r="289" spans="1:5" x14ac:dyDescent="0.25">
      <c r="A289" t="s">
        <v>557</v>
      </c>
      <c r="B289" s="1" t="s">
        <v>614</v>
      </c>
      <c r="C289">
        <f>DAYS360(Данные!D2,Данные!D3)</f>
        <v>43</v>
      </c>
      <c r="E289" s="1" t="s">
        <v>615</v>
      </c>
    </row>
    <row r="290" spans="1:5" x14ac:dyDescent="0.25">
      <c r="A290" t="s">
        <v>557</v>
      </c>
      <c r="B290" s="1" t="s">
        <v>616</v>
      </c>
      <c r="C290" s="4">
        <f>TIME(14,30,0)</f>
        <v>0.60416666666666663</v>
      </c>
      <c r="E290" s="1" t="s">
        <v>617</v>
      </c>
    </row>
    <row r="291" spans="1:5" x14ac:dyDescent="0.25">
      <c r="A291" t="s">
        <v>557</v>
      </c>
      <c r="B291" s="1" t="s">
        <v>618</v>
      </c>
      <c r="C291">
        <f>HOUR(0.75)</f>
        <v>18</v>
      </c>
      <c r="E291" s="1" t="s">
        <v>619</v>
      </c>
    </row>
    <row r="292" spans="1:5" x14ac:dyDescent="0.25">
      <c r="A292" t="s">
        <v>557</v>
      </c>
      <c r="B292" s="1" t="s">
        <v>620</v>
      </c>
      <c r="C292">
        <f>MINUTE(TIME(14,30,15))</f>
        <v>30</v>
      </c>
      <c r="E292" s="1" t="s">
        <v>621</v>
      </c>
    </row>
    <row r="293" spans="1:5" x14ac:dyDescent="0.25">
      <c r="A293" t="s">
        <v>557</v>
      </c>
      <c r="B293" s="1" t="s">
        <v>622</v>
      </c>
      <c r="C293">
        <f>SECOND(TIME(14,30,15))</f>
        <v>15</v>
      </c>
      <c r="E293" s="1" t="s">
        <v>623</v>
      </c>
    </row>
    <row r="294" spans="1:5" x14ac:dyDescent="0.25">
      <c r="A294" t="s">
        <v>557</v>
      </c>
      <c r="B294" s="1" t="s">
        <v>624</v>
      </c>
      <c r="C294">
        <f>DATEVALUE("15.01.2026")</f>
        <v>46037</v>
      </c>
      <c r="E294" s="1" t="s">
        <v>625</v>
      </c>
    </row>
    <row r="295" spans="1:5" x14ac:dyDescent="0.25">
      <c r="A295" t="s">
        <v>557</v>
      </c>
      <c r="B295" s="1" t="s">
        <v>626</v>
      </c>
      <c r="C295">
        <f>TIMEVALUE("14:30")</f>
        <v>0.60416666666666663</v>
      </c>
      <c r="E295" s="1" t="s">
        <v>627</v>
      </c>
    </row>
    <row r="296" spans="1:5" x14ac:dyDescent="0.25">
      <c r="A296" t="s">
        <v>557</v>
      </c>
      <c r="B296" s="1" t="s">
        <v>628</v>
      </c>
      <c r="C296">
        <f>Данные!D2+30</f>
        <v>46067</v>
      </c>
      <c r="E296" s="1" t="s">
        <v>629</v>
      </c>
    </row>
    <row r="297" spans="1:5" x14ac:dyDescent="0.25">
      <c r="A297" t="s">
        <v>630</v>
      </c>
      <c r="B297" s="1" t="s">
        <v>631</v>
      </c>
      <c r="C297" t="e">
        <f>AVERAGEA(Данные!G2:G11)</f>
        <v>#N/A</v>
      </c>
      <c r="E297" s="1" t="s">
        <v>632</v>
      </c>
    </row>
    <row r="298" spans="1:5" x14ac:dyDescent="0.25">
      <c r="A298" t="s">
        <v>630</v>
      </c>
      <c r="B298" s="1" t="s">
        <v>633</v>
      </c>
      <c r="C298">
        <f>MAXA(Данные!F2:F11)</f>
        <v>1</v>
      </c>
      <c r="E298" s="1" t="s">
        <v>634</v>
      </c>
    </row>
    <row r="299" spans="1:5" x14ac:dyDescent="0.25">
      <c r="A299" t="s">
        <v>630</v>
      </c>
      <c r="B299" s="1" t="s">
        <v>635</v>
      </c>
      <c r="C299">
        <f>MINA(Данные!F2:F11)</f>
        <v>0</v>
      </c>
      <c r="E299" s="1" t="s">
        <v>636</v>
      </c>
    </row>
    <row r="300" spans="1:5" x14ac:dyDescent="0.25">
      <c r="A300" t="s">
        <v>630</v>
      </c>
      <c r="B300" s="1" t="s">
        <v>637</v>
      </c>
      <c r="C300">
        <f>LARGE(Данные!C2:C11,2)</f>
        <v>3100</v>
      </c>
      <c r="E300" s="1" t="s">
        <v>638</v>
      </c>
    </row>
    <row r="301" spans="1:5" x14ac:dyDescent="0.25">
      <c r="A301" t="s">
        <v>630</v>
      </c>
      <c r="B301" s="1" t="s">
        <v>639</v>
      </c>
      <c r="C301">
        <f>SMALL(Данные!C2:C11,3)</f>
        <v>15.25</v>
      </c>
      <c r="E301" s="1" t="s">
        <v>640</v>
      </c>
    </row>
    <row r="302" spans="1:5" x14ac:dyDescent="0.25">
      <c r="A302" t="s">
        <v>630</v>
      </c>
      <c r="B302" s="1" t="s">
        <v>641</v>
      </c>
      <c r="C302">
        <f>MODE(Данные!E2:E11)</f>
        <v>1</v>
      </c>
      <c r="E302" s="1" t="s">
        <v>642</v>
      </c>
    </row>
    <row r="303" spans="1:5" x14ac:dyDescent="0.25">
      <c r="A303" t="s">
        <v>630</v>
      </c>
      <c r="B303" s="1" t="s">
        <v>643</v>
      </c>
      <c r="C303">
        <f>_xlfn.MODE.SNGL(Данные!E2:E11)</f>
        <v>1</v>
      </c>
      <c r="E303" s="1" t="s">
        <v>644</v>
      </c>
    </row>
    <row r="304" spans="1:5" x14ac:dyDescent="0.25">
      <c r="A304" t="s">
        <v>630</v>
      </c>
      <c r="B304" s="1" t="s">
        <v>645</v>
      </c>
      <c r="C304">
        <f>STDEV(Данные!C2:C11)</f>
        <v>1440.7163536954647</v>
      </c>
      <c r="E304" s="1" t="s">
        <v>646</v>
      </c>
    </row>
    <row r="305" spans="1:5" x14ac:dyDescent="0.25">
      <c r="A305" t="s">
        <v>630</v>
      </c>
      <c r="B305" s="1" t="s">
        <v>647</v>
      </c>
      <c r="C305">
        <f>_xlfn.STDEV.S(Данные!C2:C11)</f>
        <v>1440.7163536954647</v>
      </c>
      <c r="E305" s="1" t="s">
        <v>648</v>
      </c>
    </row>
    <row r="306" spans="1:5" x14ac:dyDescent="0.25">
      <c r="A306" t="s">
        <v>630</v>
      </c>
      <c r="B306" s="1" t="s">
        <v>649</v>
      </c>
      <c r="C306">
        <f>_xlfn.STDEV.P(Данные!C2:C11)</f>
        <v>1366.783541979124</v>
      </c>
      <c r="E306" s="1" t="s">
        <v>650</v>
      </c>
    </row>
    <row r="307" spans="1:5" x14ac:dyDescent="0.25">
      <c r="A307" t="s">
        <v>630</v>
      </c>
      <c r="B307" s="1" t="s">
        <v>651</v>
      </c>
      <c r="C307">
        <f>STDEVP(Данные!C2:C11)</f>
        <v>1366.783541979124</v>
      </c>
      <c r="E307" s="1" t="s">
        <v>652</v>
      </c>
    </row>
    <row r="308" spans="1:5" x14ac:dyDescent="0.25">
      <c r="A308" t="s">
        <v>630</v>
      </c>
      <c r="B308" s="1" t="s">
        <v>653</v>
      </c>
      <c r="C308">
        <f>VAR(Данные!C2:C11)</f>
        <v>2075663.6118055556</v>
      </c>
      <c r="E308" s="1" t="s">
        <v>654</v>
      </c>
    </row>
    <row r="309" spans="1:5" x14ac:dyDescent="0.25">
      <c r="A309" t="s">
        <v>630</v>
      </c>
      <c r="B309" s="1" t="s">
        <v>655</v>
      </c>
      <c r="C309">
        <f>_xlfn.VAR.P(Данные!C2:C11)</f>
        <v>1868097.2506250001</v>
      </c>
      <c r="E309" s="1" t="s">
        <v>656</v>
      </c>
    </row>
    <row r="310" spans="1:5" x14ac:dyDescent="0.25">
      <c r="A310" t="s">
        <v>630</v>
      </c>
      <c r="B310" s="1" t="s">
        <v>657</v>
      </c>
      <c r="C310">
        <f>QUARTILE(Данные!C2:C11,1)</f>
        <v>69.0625</v>
      </c>
      <c r="E310" s="1" t="s">
        <v>658</v>
      </c>
    </row>
    <row r="311" spans="1:5" x14ac:dyDescent="0.25">
      <c r="A311" t="s">
        <v>630</v>
      </c>
      <c r="B311" s="1" t="s">
        <v>659</v>
      </c>
      <c r="C311">
        <f>_xlfn.QUARTILE.EXC(Данные!C2:C11,1)</f>
        <v>11.4375</v>
      </c>
      <c r="E311" s="1" t="s">
        <v>660</v>
      </c>
    </row>
    <row r="312" spans="1:5" x14ac:dyDescent="0.25">
      <c r="A312" t="s">
        <v>630</v>
      </c>
      <c r="B312" s="1" t="s">
        <v>661</v>
      </c>
      <c r="C312">
        <f>PERCENTILE(Данные!C2:C11,0.9)</f>
        <v>3209.9999999999995</v>
      </c>
      <c r="E312" s="1" t="s">
        <v>662</v>
      </c>
    </row>
    <row r="313" spans="1:5" x14ac:dyDescent="0.25">
      <c r="A313" t="s">
        <v>630</v>
      </c>
      <c r="B313" s="1" t="s">
        <v>663</v>
      </c>
      <c r="C313">
        <f>_xlfn.PERCENTILE.EXC(Данные!C2:C11,0.9)</f>
        <v>4090.0000000000005</v>
      </c>
      <c r="E313" s="1" t="s">
        <v>664</v>
      </c>
    </row>
    <row r="314" spans="1:5" x14ac:dyDescent="0.25">
      <c r="A314" t="s">
        <v>630</v>
      </c>
      <c r="B314" s="1" t="s">
        <v>665</v>
      </c>
      <c r="C314">
        <f>PERCENTRANK(Данные!C2:C11,980)</f>
        <v>0.55500000000000005</v>
      </c>
      <c r="E314" s="1" t="s">
        <v>666</v>
      </c>
    </row>
    <row r="315" spans="1:5" x14ac:dyDescent="0.25">
      <c r="A315" t="s">
        <v>630</v>
      </c>
      <c r="B315" s="1" t="s">
        <v>667</v>
      </c>
      <c r="C315">
        <f>CORREL(Данные!C2:C11,Данные!E2:E11)</f>
        <v>-0.50890990310890893</v>
      </c>
      <c r="E315" s="1" t="s">
        <v>668</v>
      </c>
    </row>
    <row r="316" spans="1:5" x14ac:dyDescent="0.25">
      <c r="A316" t="s">
        <v>630</v>
      </c>
      <c r="B316" s="1" t="s">
        <v>669</v>
      </c>
      <c r="C316">
        <f>SLOPE(Данные!C2:C11,Данные!E2:E11)</f>
        <v>-291.59797891036908</v>
      </c>
      <c r="E316" s="1" t="s">
        <v>670</v>
      </c>
    </row>
    <row r="317" spans="1:5" x14ac:dyDescent="0.25">
      <c r="A317" t="s">
        <v>630</v>
      </c>
      <c r="B317" s="1" t="s">
        <v>671</v>
      </c>
      <c r="C317">
        <f>INTERCEPT(Данные!C2:C11,Данные!E2:E11)</f>
        <v>2315.8071177504394</v>
      </c>
      <c r="E317" s="1" t="s">
        <v>672</v>
      </c>
    </row>
    <row r="318" spans="1:5" x14ac:dyDescent="0.25">
      <c r="A318" t="s">
        <v>630</v>
      </c>
      <c r="B318" s="1" t="s">
        <v>673</v>
      </c>
      <c r="C318">
        <f>FORECAST(10,Данные!C2:C11,Данные!E2:E11)</f>
        <v>-600.17267135325119</v>
      </c>
      <c r="E318" s="1" t="s">
        <v>674</v>
      </c>
    </row>
    <row r="319" spans="1:5" x14ac:dyDescent="0.25">
      <c r="A319" t="s">
        <v>630</v>
      </c>
      <c r="B319" s="1" t="s">
        <v>675</v>
      </c>
      <c r="C319">
        <f>_xlfn.FORECAST.LINEAR(10,Данные!C2:C11,Данные!E2:E11)</f>
        <v>-600.17267135325119</v>
      </c>
      <c r="E319" s="1" t="s">
        <v>676</v>
      </c>
    </row>
    <row r="320" spans="1:5" x14ac:dyDescent="0.25">
      <c r="A320" t="s">
        <v>630</v>
      </c>
      <c r="B320" s="1" t="s">
        <v>677</v>
      </c>
      <c r="C320" cm="1">
        <f t="array" ref="C320">INDEX(TREND(Данные!C2:C11,Данные!E2:E11),1)</f>
        <v>1441.0131810193325</v>
      </c>
      <c r="E320" s="1" t="s">
        <v>678</v>
      </c>
    </row>
    <row r="321" spans="1:5" x14ac:dyDescent="0.25">
      <c r="A321" t="s">
        <v>630</v>
      </c>
      <c r="B321" s="1" t="s">
        <v>679</v>
      </c>
      <c r="C321" cm="1">
        <f t="array" ref="C321">INDEX(FREQUENCY(Данные!C2:C11,{0,1000,3000}),2)</f>
        <v>4</v>
      </c>
      <c r="E321" s="1" t="s">
        <v>680</v>
      </c>
    </row>
    <row r="322" spans="1:5" x14ac:dyDescent="0.25">
      <c r="A322" t="s">
        <v>630</v>
      </c>
      <c r="B322" s="1" t="s">
        <v>681</v>
      </c>
      <c r="C322">
        <f>GEOMEAN(Данные!E2:E11)</f>
        <v>3.0949600815477374</v>
      </c>
      <c r="E322" s="1" t="s">
        <v>682</v>
      </c>
    </row>
    <row r="323" spans="1:5" x14ac:dyDescent="0.25">
      <c r="A323" t="s">
        <v>630</v>
      </c>
      <c r="B323" s="1" t="s">
        <v>683</v>
      </c>
      <c r="C323">
        <f>HARMEAN(Данные!E2:E11)</f>
        <v>2.3708721422523285</v>
      </c>
      <c r="E323" s="1" t="s">
        <v>684</v>
      </c>
    </row>
    <row r="324" spans="1:5" x14ac:dyDescent="0.25">
      <c r="A324" t="s">
        <v>630</v>
      </c>
      <c r="B324" s="1" t="s">
        <v>685</v>
      </c>
      <c r="C324">
        <f>AVEDEV(Данные!C2:C11)</f>
        <v>1057.1399999999999</v>
      </c>
      <c r="E324" s="1" t="s">
        <v>686</v>
      </c>
    </row>
    <row r="325" spans="1:5" x14ac:dyDescent="0.25">
      <c r="A325" t="s">
        <v>630</v>
      </c>
      <c r="B325" s="1" t="s">
        <v>687</v>
      </c>
      <c r="C325">
        <f>DEVSQ(Данные!C2:C11)</f>
        <v>18680972.506250005</v>
      </c>
      <c r="E325" s="1" t="s">
        <v>688</v>
      </c>
    </row>
    <row r="326" spans="1:5" x14ac:dyDescent="0.25">
      <c r="A326" t="s">
        <v>630</v>
      </c>
      <c r="B326" s="1" t="s">
        <v>689</v>
      </c>
      <c r="C326">
        <f>COUNTA(Данные!A:A)</f>
        <v>11</v>
      </c>
      <c r="E326" s="1" t="s">
        <v>690</v>
      </c>
    </row>
    <row r="327" spans="1:5" x14ac:dyDescent="0.25">
      <c r="A327" t="s">
        <v>630</v>
      </c>
      <c r="B327" s="1" t="s">
        <v>691</v>
      </c>
      <c r="C327">
        <f>_xlfn.NORM.DIST(1,0,1,TRUE)</f>
        <v>0.84134474606854304</v>
      </c>
      <c r="E327" s="1" t="s">
        <v>692</v>
      </c>
    </row>
    <row r="328" spans="1:5" x14ac:dyDescent="0.25">
      <c r="A328" t="s">
        <v>630</v>
      </c>
      <c r="B328" s="1" t="s">
        <v>693</v>
      </c>
      <c r="C328">
        <f>_xlfn.NORM.INV(0.95,0,1)</f>
        <v>1.6448536269514715</v>
      </c>
      <c r="E328" s="1" t="s">
        <v>694</v>
      </c>
    </row>
    <row r="329" spans="1:5" x14ac:dyDescent="0.25">
      <c r="A329" t="s">
        <v>630</v>
      </c>
      <c r="B329" s="1" t="s">
        <v>695</v>
      </c>
      <c r="C329">
        <f>_xlfn.NORM.S.DIST(1.96,TRUE)</f>
        <v>0.97500210485177952</v>
      </c>
      <c r="E329" s="1" t="s">
        <v>696</v>
      </c>
    </row>
    <row r="330" spans="1:5" x14ac:dyDescent="0.25">
      <c r="A330" t="s">
        <v>697</v>
      </c>
      <c r="B330" s="1" t="s">
        <v>698</v>
      </c>
      <c r="C330" s="5">
        <f>PMT(0.1/12,36,-100000)</f>
        <v>3226.7187193837485</v>
      </c>
      <c r="E330" s="1" t="s">
        <v>699</v>
      </c>
    </row>
    <row r="331" spans="1:5" x14ac:dyDescent="0.25">
      <c r="A331" t="s">
        <v>697</v>
      </c>
      <c r="B331" s="1" t="s">
        <v>700</v>
      </c>
      <c r="C331" s="5">
        <f>PMT(0.08,10,10000,0,1)</f>
        <v>-1379.9026731210683</v>
      </c>
      <c r="E331" s="1" t="s">
        <v>701</v>
      </c>
    </row>
    <row r="332" spans="1:5" x14ac:dyDescent="0.25">
      <c r="A332" t="s">
        <v>697</v>
      </c>
      <c r="B332" s="1" t="s">
        <v>702</v>
      </c>
      <c r="C332" s="5">
        <f>IPMT(0.1/12,1,36,-100000)</f>
        <v>833.33333333333337</v>
      </c>
      <c r="E332" s="1" t="s">
        <v>703</v>
      </c>
    </row>
    <row r="333" spans="1:5" x14ac:dyDescent="0.25">
      <c r="A333" t="s">
        <v>697</v>
      </c>
      <c r="B333" s="1" t="s">
        <v>704</v>
      </c>
      <c r="C333" s="5">
        <f>PPMT(0.1/12,1,36,-100000)</f>
        <v>2393.3853860504155</v>
      </c>
      <c r="E333" s="1" t="s">
        <v>705</v>
      </c>
    </row>
    <row r="334" spans="1:5" x14ac:dyDescent="0.25">
      <c r="A334" t="s">
        <v>697</v>
      </c>
      <c r="B334" s="1" t="s">
        <v>706</v>
      </c>
      <c r="C334" s="5">
        <f>FV(0.05,10,-100)</f>
        <v>1257.7892535548831</v>
      </c>
      <c r="E334" s="1" t="s">
        <v>707</v>
      </c>
    </row>
    <row r="335" spans="1:5" x14ac:dyDescent="0.25">
      <c r="A335" t="s">
        <v>697</v>
      </c>
      <c r="B335" s="1" t="s">
        <v>708</v>
      </c>
      <c r="C335" s="5">
        <f>PV(0.05,10,-100)</f>
        <v>772.17349291848132</v>
      </c>
      <c r="E335" s="1" t="s">
        <v>709</v>
      </c>
    </row>
    <row r="336" spans="1:5" x14ac:dyDescent="0.25">
      <c r="A336" t="s">
        <v>697</v>
      </c>
      <c r="B336" s="1" t="s">
        <v>710</v>
      </c>
      <c r="C336">
        <f>NPER(0.01,-100,1000)</f>
        <v>10.588644459423231</v>
      </c>
      <c r="E336" s="1" t="s">
        <v>711</v>
      </c>
    </row>
    <row r="337" spans="1:5" x14ac:dyDescent="0.25">
      <c r="A337" t="s">
        <v>697</v>
      </c>
      <c r="B337" s="1" t="s">
        <v>712</v>
      </c>
      <c r="C337" s="6">
        <f>RATE(36,-3000,100000)</f>
        <v>4.2206675453815533E-3</v>
      </c>
      <c r="E337" s="1" t="s">
        <v>713</v>
      </c>
    </row>
    <row r="338" spans="1:5" x14ac:dyDescent="0.25">
      <c r="A338" t="s">
        <v>697</v>
      </c>
      <c r="B338" s="1" t="s">
        <v>714</v>
      </c>
      <c r="C338" s="5">
        <f>NPV(0.1,-1000,300,400,500)</f>
        <v>-19.12437675022209</v>
      </c>
      <c r="E338" s="1" t="s">
        <v>715</v>
      </c>
    </row>
    <row r="339" spans="1:5" x14ac:dyDescent="0.25">
      <c r="A339" t="s">
        <v>697</v>
      </c>
      <c r="B339" s="1" t="s">
        <v>716</v>
      </c>
      <c r="C339" s="6">
        <f>IRR({-1000,300,400,500})</f>
        <v>8.8963394693349906E-2</v>
      </c>
      <c r="E339" s="1" t="s">
        <v>717</v>
      </c>
    </row>
    <row r="340" spans="1:5" x14ac:dyDescent="0.25">
      <c r="A340" t="s">
        <v>697</v>
      </c>
      <c r="B340" s="1" t="s">
        <v>718</v>
      </c>
      <c r="C340">
        <f>XNPV(0.1,{-1000,600,600},{46023,46388,46753})</f>
        <v>41.322314049586623</v>
      </c>
      <c r="E340" s="1" t="s">
        <v>719</v>
      </c>
    </row>
    <row r="341" spans="1:5" x14ac:dyDescent="0.25">
      <c r="A341" t="s">
        <v>697</v>
      </c>
      <c r="B341" s="1" t="s">
        <v>720</v>
      </c>
      <c r="C341">
        <f>XIRR({-1000,600,600},{46023,46388,46753})</f>
        <v>0.13066238760948182</v>
      </c>
      <c r="E341" s="1" t="s">
        <v>721</v>
      </c>
    </row>
    <row r="342" spans="1:5" x14ac:dyDescent="0.25">
      <c r="A342" t="s">
        <v>697</v>
      </c>
      <c r="B342" s="1" t="s">
        <v>722</v>
      </c>
      <c r="C342" s="5">
        <f>SLN(10000,1000,5)</f>
        <v>1800</v>
      </c>
      <c r="E342" s="1" t="s">
        <v>723</v>
      </c>
    </row>
    <row r="343" spans="1:5" x14ac:dyDescent="0.25">
      <c r="A343" t="s">
        <v>697</v>
      </c>
      <c r="B343" s="1" t="s">
        <v>724</v>
      </c>
      <c r="C343" s="5">
        <f>DB(10000,1000,5,1)</f>
        <v>3690</v>
      </c>
      <c r="E343" s="1" t="s">
        <v>725</v>
      </c>
    </row>
    <row r="344" spans="1:5" x14ac:dyDescent="0.25">
      <c r="A344" t="s">
        <v>697</v>
      </c>
      <c r="B344" s="1" t="s">
        <v>726</v>
      </c>
      <c r="C344" s="5">
        <f>DDB(10000,1000,5,1)</f>
        <v>4000</v>
      </c>
      <c r="E344" s="1" t="s">
        <v>727</v>
      </c>
    </row>
    <row r="345" spans="1:5" x14ac:dyDescent="0.25">
      <c r="A345" t="s">
        <v>697</v>
      </c>
      <c r="B345" s="1" t="s">
        <v>728</v>
      </c>
      <c r="C345" s="5">
        <f>SYD(10000,1000,5,1)</f>
        <v>3000</v>
      </c>
      <c r="E345" s="1" t="s">
        <v>729</v>
      </c>
    </row>
    <row r="346" spans="1:5" x14ac:dyDescent="0.25">
      <c r="A346" t="s">
        <v>697</v>
      </c>
      <c r="B346" s="1" t="s">
        <v>730</v>
      </c>
      <c r="C346">
        <f>EFFECT(0.1,12)</f>
        <v>0.10471306744129683</v>
      </c>
      <c r="E346" s="1" t="s">
        <v>731</v>
      </c>
    </row>
    <row r="347" spans="1:5" x14ac:dyDescent="0.25">
      <c r="A347" t="s">
        <v>697</v>
      </c>
      <c r="B347" s="1" t="s">
        <v>732</v>
      </c>
      <c r="C347">
        <f>NOMINAL(0.1047,12)</f>
        <v>9.9988072551626672E-2</v>
      </c>
      <c r="E347" s="1" t="s">
        <v>733</v>
      </c>
    </row>
    <row r="348" spans="1:5" x14ac:dyDescent="0.25">
      <c r="A348" t="s">
        <v>734</v>
      </c>
      <c r="B348" s="1" t="s">
        <v>735</v>
      </c>
      <c r="C348" t="e">
        <f>NA()</f>
        <v>#N/A</v>
      </c>
      <c r="E348" s="1" t="s">
        <v>736</v>
      </c>
    </row>
    <row r="349" spans="1:5" x14ac:dyDescent="0.25">
      <c r="A349" t="s">
        <v>734</v>
      </c>
      <c r="B349" s="1" t="s">
        <v>737</v>
      </c>
      <c r="C349" t="b">
        <f>ISNA(NA())</f>
        <v>1</v>
      </c>
      <c r="E349" s="1" t="s">
        <v>738</v>
      </c>
    </row>
    <row r="350" spans="1:5" x14ac:dyDescent="0.25">
      <c r="A350" t="s">
        <v>734</v>
      </c>
      <c r="B350" s="1" t="s">
        <v>739</v>
      </c>
      <c r="C350">
        <f>ERROR.TYPE(1/0)</f>
        <v>2</v>
      </c>
      <c r="E350" s="1" t="s">
        <v>740</v>
      </c>
    </row>
    <row r="351" spans="1:5" x14ac:dyDescent="0.25">
      <c r="A351" t="s">
        <v>734</v>
      </c>
      <c r="B351" s="1" t="s">
        <v>741</v>
      </c>
      <c r="C351">
        <f ca="1">_xlfn.SHEET()</f>
        <v>5</v>
      </c>
      <c r="E351" s="1" t="s">
        <v>742</v>
      </c>
    </row>
    <row r="352" spans="1:5" x14ac:dyDescent="0.25">
      <c r="A352" t="s">
        <v>734</v>
      </c>
      <c r="B352" s="1" t="s">
        <v>743</v>
      </c>
      <c r="C352">
        <f ca="1">_xlfn.SHEETS()</f>
        <v>5</v>
      </c>
      <c r="E352" s="1" t="s">
        <v>744</v>
      </c>
    </row>
    <row r="353" spans="1:5" x14ac:dyDescent="0.25">
      <c r="A353" t="s">
        <v>734</v>
      </c>
      <c r="B353" s="1" t="s">
        <v>745</v>
      </c>
      <c r="C353" t="str">
        <f ca="1">_xlfn.FORMULATEXT(Данные!G6)</f>
        <v>=НД()</v>
      </c>
      <c r="E353" s="1" t="s">
        <v>746</v>
      </c>
    </row>
    <row r="354" spans="1:5" x14ac:dyDescent="0.25">
      <c r="A354" t="s">
        <v>734</v>
      </c>
      <c r="B354" s="1" t="s">
        <v>747</v>
      </c>
      <c r="C354" cm="1">
        <f t="array" aca="1" ref="C354" ca="1">CELL("row",Данные!C5)</f>
        <v>5</v>
      </c>
      <c r="E354" s="1" t="s">
        <v>748</v>
      </c>
    </row>
    <row r="355" spans="1:5" x14ac:dyDescent="0.25">
      <c r="A355" t="s">
        <v>734</v>
      </c>
      <c r="B355" s="1" t="s">
        <v>749</v>
      </c>
      <c r="C355">
        <f>_xlfn.LET(_xlpm.x,5,_xlpm.y,_xlpm.x*2,_xlpm.x+_xlpm.y)</f>
        <v>15</v>
      </c>
      <c r="E355" s="1" t="s">
        <v>750</v>
      </c>
    </row>
    <row r="356" spans="1:5" x14ac:dyDescent="0.25">
      <c r="A356" t="s">
        <v>734</v>
      </c>
      <c r="B356" s="1" t="s">
        <v>751</v>
      </c>
      <c r="C356">
        <f>ROWS(Данные!A:A)</f>
        <v>1048576</v>
      </c>
      <c r="E356" s="1" t="s">
        <v>752</v>
      </c>
    </row>
    <row r="357" spans="1:5" x14ac:dyDescent="0.25">
      <c r="A357" t="s">
        <v>753</v>
      </c>
      <c r="B357" s="1" t="s">
        <v>754</v>
      </c>
      <c r="C357" s="3">
        <f ca="1">TODAY()</f>
        <v>46305</v>
      </c>
      <c r="E357" s="1" t="s">
        <v>755</v>
      </c>
    </row>
    <row r="358" spans="1:5" x14ac:dyDescent="0.25">
      <c r="A358" t="s">
        <v>753</v>
      </c>
      <c r="B358" s="1" t="s">
        <v>756</v>
      </c>
      <c r="C358" s="7">
        <f ca="1">NOW()</f>
        <v>46305.833494560182</v>
      </c>
      <c r="E358" s="1" t="s">
        <v>757</v>
      </c>
    </row>
    <row r="359" spans="1:5" x14ac:dyDescent="0.25">
      <c r="A359" t="s">
        <v>753</v>
      </c>
      <c r="B359" s="1" t="s">
        <v>758</v>
      </c>
      <c r="C359">
        <f ca="1">RAND()</f>
        <v>0.70047170638689604</v>
      </c>
      <c r="E359" s="1" t="s">
        <v>759</v>
      </c>
    </row>
    <row r="360" spans="1:5" x14ac:dyDescent="0.25">
      <c r="A360" t="s">
        <v>753</v>
      </c>
      <c r="B360" s="1" t="s">
        <v>760</v>
      </c>
      <c r="C360">
        <f ca="1">RANDBETWEEN(1,10)</f>
        <v>1</v>
      </c>
      <c r="E360" s="1" t="s">
        <v>761</v>
      </c>
    </row>
    <row r="361" spans="1:5" x14ac:dyDescent="0.25">
      <c r="A361" t="s">
        <v>762</v>
      </c>
      <c r="B361" s="1" t="s">
        <v>763</v>
      </c>
      <c r="C361">
        <f>ASIN(0.5)</f>
        <v>0.52359877559829893</v>
      </c>
      <c r="E361" s="1" t="s">
        <v>764</v>
      </c>
    </row>
    <row r="362" spans="1:5" x14ac:dyDescent="0.25">
      <c r="A362" t="s">
        <v>762</v>
      </c>
      <c r="B362" s="1" t="s">
        <v>765</v>
      </c>
      <c r="C362">
        <f>ACOS(-1)</f>
        <v>3.1415926535897931</v>
      </c>
      <c r="E362" s="1" t="s">
        <v>766</v>
      </c>
    </row>
    <row r="363" spans="1:5" x14ac:dyDescent="0.25">
      <c r="A363" t="s">
        <v>762</v>
      </c>
      <c r="B363" s="1" t="s">
        <v>767</v>
      </c>
      <c r="C363">
        <f>ATAN(1)</f>
        <v>0.78539816339744828</v>
      </c>
      <c r="E363" s="1" t="s">
        <v>768</v>
      </c>
    </row>
    <row r="364" spans="1:5" x14ac:dyDescent="0.25">
      <c r="A364" t="s">
        <v>762</v>
      </c>
      <c r="B364" s="1" t="s">
        <v>769</v>
      </c>
      <c r="C364">
        <f>SINH(1)</f>
        <v>1.1752011936438014</v>
      </c>
      <c r="E364" s="1" t="s">
        <v>770</v>
      </c>
    </row>
    <row r="365" spans="1:5" x14ac:dyDescent="0.25">
      <c r="A365" t="s">
        <v>762</v>
      </c>
      <c r="B365" s="1" t="s">
        <v>771</v>
      </c>
      <c r="C365">
        <f>COSH(1)</f>
        <v>1.5430806348152437</v>
      </c>
      <c r="E365" s="1" t="s">
        <v>772</v>
      </c>
    </row>
    <row r="366" spans="1:5" x14ac:dyDescent="0.25">
      <c r="A366" t="s">
        <v>762</v>
      </c>
      <c r="B366" s="1" t="s">
        <v>773</v>
      </c>
      <c r="C366">
        <f>TANH(0.5)</f>
        <v>0.46211715726000979</v>
      </c>
      <c r="E366" s="1" t="s">
        <v>774</v>
      </c>
    </row>
    <row r="367" spans="1:5" x14ac:dyDescent="0.25">
      <c r="A367" t="s">
        <v>762</v>
      </c>
      <c r="B367" s="1" t="s">
        <v>775</v>
      </c>
      <c r="C367">
        <f>SQRTPI(2)</f>
        <v>2.5066282746310002</v>
      </c>
      <c r="E367" s="1" t="s">
        <v>776</v>
      </c>
    </row>
    <row r="368" spans="1:5" x14ac:dyDescent="0.25">
      <c r="A368" t="s">
        <v>762</v>
      </c>
      <c r="B368" s="1" t="s">
        <v>777</v>
      </c>
      <c r="C368">
        <f>SUMX2MY2({1,2,3},{4,5,6})</f>
        <v>-63</v>
      </c>
      <c r="E368" s="1" t="s">
        <v>778</v>
      </c>
    </row>
    <row r="369" spans="1:5" x14ac:dyDescent="0.25">
      <c r="A369" t="s">
        <v>762</v>
      </c>
      <c r="B369" s="1" t="s">
        <v>779</v>
      </c>
      <c r="C369">
        <f>SUMXMY2({1,2,3},{4,5,6})</f>
        <v>27</v>
      </c>
      <c r="E369" s="1" t="s">
        <v>780</v>
      </c>
    </row>
    <row r="370" spans="1:5" x14ac:dyDescent="0.25">
      <c r="A370" t="s">
        <v>762</v>
      </c>
      <c r="B370" s="1" t="s">
        <v>781</v>
      </c>
      <c r="C370">
        <f>MROUND(2.5,1)</f>
        <v>3</v>
      </c>
      <c r="E370" s="1" t="s">
        <v>782</v>
      </c>
    </row>
    <row r="371" spans="1:5" x14ac:dyDescent="0.25">
      <c r="A371" t="s">
        <v>762</v>
      </c>
      <c r="B371" s="1" t="s">
        <v>783</v>
      </c>
      <c r="C371">
        <f>MROUND(-2.5,-1)</f>
        <v>-3</v>
      </c>
      <c r="E371" s="1" t="s">
        <v>784</v>
      </c>
    </row>
    <row r="372" spans="1:5" x14ac:dyDescent="0.25">
      <c r="A372" t="s">
        <v>762</v>
      </c>
      <c r="B372" s="1" t="s">
        <v>785</v>
      </c>
      <c r="C372">
        <f>_xlfn.CEILING.MATH(-2.1,1,1)</f>
        <v>-3</v>
      </c>
      <c r="E372" s="1" t="s">
        <v>786</v>
      </c>
    </row>
    <row r="373" spans="1:5" x14ac:dyDescent="0.25">
      <c r="A373" t="s">
        <v>762</v>
      </c>
      <c r="B373" s="1" t="s">
        <v>787</v>
      </c>
      <c r="C373">
        <f>_xlfn.FLOOR.MATH(-2.1,1,1)</f>
        <v>-2</v>
      </c>
      <c r="E373" s="1" t="s">
        <v>788</v>
      </c>
    </row>
    <row r="374" spans="1:5" x14ac:dyDescent="0.25">
      <c r="A374" t="s">
        <v>762</v>
      </c>
      <c r="B374" s="1" t="s">
        <v>789</v>
      </c>
      <c r="C374">
        <f>FLOOR(-2.9,-1)</f>
        <v>-2</v>
      </c>
      <c r="E374" s="1" t="s">
        <v>790</v>
      </c>
    </row>
    <row r="375" spans="1:5" x14ac:dyDescent="0.25">
      <c r="A375" t="s">
        <v>762</v>
      </c>
      <c r="B375" s="1" t="s">
        <v>791</v>
      </c>
      <c r="C375">
        <f>ODD(-1.5)</f>
        <v>-3</v>
      </c>
      <c r="E375" s="1" t="s">
        <v>792</v>
      </c>
    </row>
    <row r="376" spans="1:5" x14ac:dyDescent="0.25">
      <c r="A376" t="s">
        <v>762</v>
      </c>
      <c r="B376" s="1" t="s">
        <v>793</v>
      </c>
      <c r="C376">
        <f>EVEN(-0.5)</f>
        <v>-2</v>
      </c>
      <c r="E376" s="1" t="s">
        <v>794</v>
      </c>
    </row>
    <row r="377" spans="1:5" x14ac:dyDescent="0.25">
      <c r="A377" t="s">
        <v>762</v>
      </c>
      <c r="B377" s="1" t="s">
        <v>795</v>
      </c>
      <c r="C377">
        <f>TRUNC(1234.5678,-2)</f>
        <v>1200</v>
      </c>
      <c r="E377" s="1" t="s">
        <v>796</v>
      </c>
    </row>
    <row r="378" spans="1:5" x14ac:dyDescent="0.25">
      <c r="A378" t="s">
        <v>762</v>
      </c>
      <c r="B378" s="1" t="s">
        <v>797</v>
      </c>
      <c r="C378" t="str">
        <f>ROMAN(3999)</f>
        <v>MMMCMXCIX</v>
      </c>
      <c r="E378" s="1" t="s">
        <v>798</v>
      </c>
    </row>
    <row r="379" spans="1:5" x14ac:dyDescent="0.25">
      <c r="A379" t="s">
        <v>762</v>
      </c>
      <c r="B379" s="1" t="s">
        <v>799</v>
      </c>
      <c r="C379">
        <f>_xlfn.ARABIC("xiv")</f>
        <v>14</v>
      </c>
      <c r="E379" s="1" t="s">
        <v>800</v>
      </c>
    </row>
    <row r="380" spans="1:5" x14ac:dyDescent="0.25">
      <c r="A380" t="s">
        <v>762</v>
      </c>
      <c r="B380" s="1" t="s">
        <v>801</v>
      </c>
      <c r="C380" t="str">
        <f>_xlfn.BASE(10,2,8)</f>
        <v>00001010</v>
      </c>
      <c r="E380" s="1" t="s">
        <v>802</v>
      </c>
    </row>
    <row r="381" spans="1:5" x14ac:dyDescent="0.25">
      <c r="A381" t="s">
        <v>762</v>
      </c>
      <c r="B381" s="1" t="s">
        <v>803</v>
      </c>
      <c r="C381">
        <f>COMBIN(10,0)</f>
        <v>1</v>
      </c>
      <c r="E381" s="1" t="s">
        <v>804</v>
      </c>
    </row>
    <row r="382" spans="1:5" x14ac:dyDescent="0.25">
      <c r="A382" t="s">
        <v>762</v>
      </c>
      <c r="B382" s="1" t="s">
        <v>805</v>
      </c>
      <c r="C382">
        <f>FACT(0)</f>
        <v>1</v>
      </c>
      <c r="E382" s="1" t="s">
        <v>806</v>
      </c>
    </row>
    <row r="383" spans="1:5" x14ac:dyDescent="0.25">
      <c r="A383" t="s">
        <v>762</v>
      </c>
      <c r="B383" s="1" t="s">
        <v>807</v>
      </c>
      <c r="C383">
        <f>LOG(1)</f>
        <v>0</v>
      </c>
      <c r="E383" s="1" t="s">
        <v>808</v>
      </c>
    </row>
    <row r="384" spans="1:5" x14ac:dyDescent="0.25">
      <c r="A384" t="s">
        <v>762</v>
      </c>
      <c r="B384" s="1" t="s">
        <v>809</v>
      </c>
      <c r="C384">
        <f>QUOTIENT(-7,2)</f>
        <v>-3</v>
      </c>
      <c r="E384" s="1" t="s">
        <v>810</v>
      </c>
    </row>
    <row r="385" spans="1:5" x14ac:dyDescent="0.25">
      <c r="A385" t="s">
        <v>762</v>
      </c>
      <c r="B385" s="1" t="s">
        <v>811</v>
      </c>
      <c r="C385">
        <f>WEEKDAY(Данные!D3,3)</f>
        <v>5</v>
      </c>
      <c r="E385" s="1" t="s">
        <v>812</v>
      </c>
    </row>
    <row r="386" spans="1:5" x14ac:dyDescent="0.25">
      <c r="A386" t="s">
        <v>762</v>
      </c>
      <c r="B386" s="1" t="s">
        <v>813</v>
      </c>
      <c r="C386">
        <f>WEEKDAY(Данные!D3,11)</f>
        <v>6</v>
      </c>
      <c r="E386" s="1" t="s">
        <v>814</v>
      </c>
    </row>
    <row r="387" spans="1:5" x14ac:dyDescent="0.25">
      <c r="A387" t="s">
        <v>762</v>
      </c>
      <c r="B387" s="1" t="s">
        <v>815</v>
      </c>
      <c r="C387">
        <f>WEEKDAY(Данные!D3,16)</f>
        <v>1</v>
      </c>
      <c r="E387" s="1" t="s">
        <v>816</v>
      </c>
    </row>
    <row r="388" spans="1:5" x14ac:dyDescent="0.25">
      <c r="A388" t="s">
        <v>762</v>
      </c>
      <c r="B388" s="1" t="s">
        <v>817</v>
      </c>
      <c r="C388">
        <f>WEEKNUM(Данные!D4)</f>
        <v>53</v>
      </c>
      <c r="E388" s="1" t="s">
        <v>818</v>
      </c>
    </row>
    <row r="389" spans="1:5" x14ac:dyDescent="0.25">
      <c r="A389" t="s">
        <v>762</v>
      </c>
      <c r="B389" s="1" t="s">
        <v>819</v>
      </c>
      <c r="C389">
        <f>WEEKNUM(DATE(2026,12,31),2)</f>
        <v>53</v>
      </c>
      <c r="E389" s="1" t="s">
        <v>820</v>
      </c>
    </row>
    <row r="390" spans="1:5" x14ac:dyDescent="0.25">
      <c r="A390" t="s">
        <v>762</v>
      </c>
      <c r="B390" s="1" t="s">
        <v>821</v>
      </c>
      <c r="C390">
        <f>_xlfn.ISOWEEKNUM(DATE(2027,1,1))</f>
        <v>53</v>
      </c>
      <c r="E390" s="1" t="s">
        <v>822</v>
      </c>
    </row>
    <row r="391" spans="1:5" x14ac:dyDescent="0.25">
      <c r="A391" t="s">
        <v>762</v>
      </c>
      <c r="B391" s="1" t="s">
        <v>823</v>
      </c>
      <c r="C391">
        <f>EOMONTH(DATE(2024,1,31),1)</f>
        <v>45351</v>
      </c>
      <c r="E391" s="1" t="s">
        <v>824</v>
      </c>
    </row>
    <row r="392" spans="1:5" x14ac:dyDescent="0.25">
      <c r="A392" t="s">
        <v>762</v>
      </c>
      <c r="B392" s="1" t="s">
        <v>825</v>
      </c>
      <c r="C392">
        <f>EDATE(DATE(2024,2,29),12)</f>
        <v>45716</v>
      </c>
      <c r="E392" s="1" t="s">
        <v>826</v>
      </c>
    </row>
    <row r="393" spans="1:5" x14ac:dyDescent="0.25">
      <c r="A393" t="s">
        <v>762</v>
      </c>
      <c r="B393" s="1" t="s">
        <v>827</v>
      </c>
      <c r="C393">
        <f>WORKDAY(Данные!D2,-5)</f>
        <v>46030</v>
      </c>
      <c r="E393" s="1" t="s">
        <v>828</v>
      </c>
    </row>
    <row r="394" spans="1:5" x14ac:dyDescent="0.25">
      <c r="A394" t="s">
        <v>762</v>
      </c>
      <c r="B394" s="1" t="s">
        <v>829</v>
      </c>
      <c r="C394">
        <f>WORKDAY(Данные!D2,10,Данные!D3:D4)</f>
        <v>46051</v>
      </c>
      <c r="E394" s="1" t="s">
        <v>830</v>
      </c>
    </row>
    <row r="395" spans="1:5" x14ac:dyDescent="0.25">
      <c r="A395" t="s">
        <v>762</v>
      </c>
      <c r="B395" s="1" t="s">
        <v>831</v>
      </c>
      <c r="C395">
        <f>NETWORKDAYS.INTL(Данные!D2,Данные!D3,"0000011")</f>
        <v>32</v>
      </c>
      <c r="E395" s="1" t="s">
        <v>832</v>
      </c>
    </row>
    <row r="396" spans="1:5" x14ac:dyDescent="0.25">
      <c r="A396" t="s">
        <v>762</v>
      </c>
      <c r="B396" s="1" t="s">
        <v>833</v>
      </c>
      <c r="C396">
        <f>NETWORKDAYS(Данные!D3,Данные!D2)</f>
        <v>-32</v>
      </c>
      <c r="E396" s="1" t="s">
        <v>834</v>
      </c>
    </row>
    <row r="397" spans="1:5" x14ac:dyDescent="0.25">
      <c r="A397" t="s">
        <v>762</v>
      </c>
      <c r="B397" s="1" t="s">
        <v>835</v>
      </c>
      <c r="C397">
        <f>DATEDIF(Данные!D6,Данные!D2,"ym")</f>
        <v>10</v>
      </c>
      <c r="E397" s="1" t="s">
        <v>836</v>
      </c>
    </row>
    <row r="398" spans="1:5" x14ac:dyDescent="0.25">
      <c r="A398" t="s">
        <v>762</v>
      </c>
      <c r="B398" s="1" t="s">
        <v>837</v>
      </c>
      <c r="C398">
        <f>DATEDIF(Данные!D6,Данные!D2,"yd")</f>
        <v>321</v>
      </c>
      <c r="E398" s="1" t="s">
        <v>838</v>
      </c>
    </row>
    <row r="399" spans="1:5" x14ac:dyDescent="0.25">
      <c r="A399" t="s">
        <v>762</v>
      </c>
      <c r="B399" s="1" t="s">
        <v>839</v>
      </c>
      <c r="C399">
        <f>DATEDIF(Данные!D6,Данные!D2,"d")</f>
        <v>686</v>
      </c>
      <c r="E399" s="1" t="s">
        <v>840</v>
      </c>
    </row>
    <row r="400" spans="1:5" x14ac:dyDescent="0.25">
      <c r="A400" t="s">
        <v>762</v>
      </c>
      <c r="B400" s="1" t="s">
        <v>841</v>
      </c>
      <c r="C400">
        <f>YEARFRAC(Данные!D6,Данные!D2,2)</f>
        <v>1.9055555555555554</v>
      </c>
      <c r="E400" s="1" t="s">
        <v>842</v>
      </c>
    </row>
    <row r="401" spans="1:5" x14ac:dyDescent="0.25">
      <c r="A401" t="s">
        <v>762</v>
      </c>
      <c r="B401" s="1" t="s">
        <v>843</v>
      </c>
      <c r="C401">
        <f>YEARFRAC(Данные!D6,Данные!D2,3)</f>
        <v>1.8794520547945206</v>
      </c>
      <c r="E401" s="1" t="s">
        <v>844</v>
      </c>
    </row>
    <row r="402" spans="1:5" x14ac:dyDescent="0.25">
      <c r="A402" t="s">
        <v>762</v>
      </c>
      <c r="B402" s="1" t="s">
        <v>845</v>
      </c>
      <c r="C402">
        <f>YEARFRAC(Данные!D6,Данные!D2,4)</f>
        <v>1.8777777777777778</v>
      </c>
      <c r="E402" s="1" t="s">
        <v>846</v>
      </c>
    </row>
    <row r="403" spans="1:5" x14ac:dyDescent="0.25">
      <c r="A403" t="s">
        <v>762</v>
      </c>
      <c r="B403" s="1" t="s">
        <v>847</v>
      </c>
      <c r="C403">
        <f>YEARFRAC(Данные!D6,Данные!D2,1)</f>
        <v>1.8777372262773724</v>
      </c>
      <c r="E403" s="1" t="s">
        <v>848</v>
      </c>
    </row>
    <row r="404" spans="1:5" x14ac:dyDescent="0.25">
      <c r="A404" t="s">
        <v>762</v>
      </c>
      <c r="B404" s="1" t="s">
        <v>849</v>
      </c>
      <c r="C404">
        <f>DAYS360(DATE(2026,1,31),DATE(2026,3,31),TRUE)</f>
        <v>60</v>
      </c>
      <c r="E404" s="1" t="s">
        <v>850</v>
      </c>
    </row>
    <row r="405" spans="1:5" x14ac:dyDescent="0.25">
      <c r="A405" t="s">
        <v>762</v>
      </c>
      <c r="B405" s="1" t="s">
        <v>851</v>
      </c>
      <c r="C405" s="4">
        <f>TIME(25,70,0)</f>
        <v>9.0277777777777901E-2</v>
      </c>
      <c r="E405" s="1" t="s">
        <v>852</v>
      </c>
    </row>
    <row r="406" spans="1:5" x14ac:dyDescent="0.25">
      <c r="A406" t="s">
        <v>762</v>
      </c>
      <c r="B406" s="1" t="s">
        <v>853</v>
      </c>
      <c r="C406">
        <f>HOUR("18:45")</f>
        <v>18</v>
      </c>
      <c r="E406" s="1" t="s">
        <v>854</v>
      </c>
    </row>
    <row r="407" spans="1:5" x14ac:dyDescent="0.25">
      <c r="A407" t="s">
        <v>762</v>
      </c>
      <c r="B407" s="1" t="s">
        <v>855</v>
      </c>
      <c r="C407">
        <f>TIMEVALUE("6:30:15")</f>
        <v>0.27100694444444445</v>
      </c>
      <c r="E407" s="1" t="s">
        <v>856</v>
      </c>
    </row>
    <row r="408" spans="1:5" x14ac:dyDescent="0.25">
      <c r="A408" t="s">
        <v>762</v>
      </c>
      <c r="B408" s="1" t="s">
        <v>857</v>
      </c>
      <c r="C408">
        <f>DATEVALUE("01.02.2026")</f>
        <v>46054</v>
      </c>
      <c r="E408" s="1" t="s">
        <v>858</v>
      </c>
    </row>
    <row r="409" spans="1:5" x14ac:dyDescent="0.25">
      <c r="A409" t="s">
        <v>762</v>
      </c>
      <c r="B409" s="1" t="s">
        <v>859</v>
      </c>
      <c r="C409" t="str">
        <f>_xlfn.XLOOKUP(1000,Данные!C2:C11,Данные!A2:A11,,-1)</f>
        <v>Мария</v>
      </c>
      <c r="E409" s="1" t="s">
        <v>860</v>
      </c>
    </row>
    <row r="410" spans="1:5" x14ac:dyDescent="0.25">
      <c r="A410" t="s">
        <v>762</v>
      </c>
      <c r="B410" s="1" t="s">
        <v>861</v>
      </c>
      <c r="C410" t="str">
        <f>_xlfn.XLOOKUP(1000,Данные!C2:C11,Данные!A2:A11,,1)</f>
        <v>Ольга</v>
      </c>
      <c r="E410" s="1" t="s">
        <v>862</v>
      </c>
    </row>
    <row r="411" spans="1:5" x14ac:dyDescent="0.25">
      <c r="A411" t="s">
        <v>762</v>
      </c>
      <c r="B411" s="1" t="s">
        <v>863</v>
      </c>
      <c r="C411" t="str">
        <f>_xlfn.XLOOKUP("Ан*",Данные!A2:A11,Данные!B2:B11,,2)</f>
        <v>Бухгалтерия</v>
      </c>
      <c r="E411" s="1" t="s">
        <v>864</v>
      </c>
    </row>
    <row r="412" spans="1:5" x14ac:dyDescent="0.25">
      <c r="A412" t="s">
        <v>762</v>
      </c>
      <c r="B412" s="1" t="s">
        <v>865</v>
      </c>
      <c r="C412">
        <f>_xlfn.XMATCH(1000,Данные!C2:C11,1)</f>
        <v>10</v>
      </c>
      <c r="E412" s="1" t="s">
        <v>866</v>
      </c>
    </row>
    <row r="413" spans="1:5" x14ac:dyDescent="0.25">
      <c r="A413" t="s">
        <v>762</v>
      </c>
      <c r="B413" s="1" t="s">
        <v>867</v>
      </c>
      <c r="C413" t="str">
        <f>LOOKUP("Мария",Данные!A2:A11)</f>
        <v>Иван</v>
      </c>
      <c r="E413" s="1" t="s">
        <v>868</v>
      </c>
    </row>
    <row r="414" spans="1:5" x14ac:dyDescent="0.25">
      <c r="A414" t="s">
        <v>762</v>
      </c>
      <c r="B414" s="1" t="s">
        <v>869</v>
      </c>
      <c r="C414">
        <f>HLOOKUP("Кол",Данные!A1:H11,4)</f>
        <v>7</v>
      </c>
      <c r="E414" s="1" t="s">
        <v>870</v>
      </c>
    </row>
    <row r="415" spans="1:5" x14ac:dyDescent="0.25">
      <c r="A415" t="s">
        <v>762</v>
      </c>
      <c r="B415" s="1" t="s">
        <v>871</v>
      </c>
      <c r="C415">
        <f>INDEX(_xlfn.XLOOKUP("Олег",Данные!A2:A11,Данные!B2:C11),2)</f>
        <v>0</v>
      </c>
      <c r="E415" s="1" t="s">
        <v>872</v>
      </c>
    </row>
    <row r="416" spans="1:5" x14ac:dyDescent="0.25">
      <c r="A416" t="s">
        <v>762</v>
      </c>
      <c r="B416" s="1" t="s">
        <v>873</v>
      </c>
      <c r="C416">
        <f>CHOOSE(3,1,2,3,4)</f>
        <v>3</v>
      </c>
      <c r="E416" s="1" t="s">
        <v>874</v>
      </c>
    </row>
    <row r="417" spans="1:5" x14ac:dyDescent="0.25">
      <c r="A417" t="s">
        <v>762</v>
      </c>
      <c r="B417" s="1" t="s">
        <v>875</v>
      </c>
      <c r="C417" t="str">
        <f>ADDRESS(5,28,2)</f>
        <v>AB$5</v>
      </c>
      <c r="E417" s="1" t="s">
        <v>876</v>
      </c>
    </row>
    <row r="418" spans="1:5" x14ac:dyDescent="0.25">
      <c r="A418" t="s">
        <v>762</v>
      </c>
      <c r="B418" s="1" t="s">
        <v>877</v>
      </c>
      <c r="C418" t="str">
        <f>ADDRESS(5,28,3,FALSE)</f>
        <v>R[5]C28</v>
      </c>
      <c r="E418" s="1" t="s">
        <v>878</v>
      </c>
    </row>
    <row r="419" spans="1:5" x14ac:dyDescent="0.25">
      <c r="A419" t="s">
        <v>762</v>
      </c>
      <c r="B419" s="1" t="s">
        <v>879</v>
      </c>
      <c r="C419" t="str">
        <f>ADDRESS(1,1,1,TRUE,"Лист 2")</f>
        <v>'Лист 2'!$A$1</v>
      </c>
      <c r="E419" s="1" t="s">
        <v>880</v>
      </c>
    </row>
    <row r="420" spans="1:5" x14ac:dyDescent="0.25">
      <c r="A420" t="s">
        <v>762</v>
      </c>
      <c r="B420" s="1" t="s">
        <v>881</v>
      </c>
      <c r="C420">
        <f ca="1">ROWS(OFFSET(Данные!A1,2,1,4,3))</f>
        <v>4</v>
      </c>
      <c r="E420" s="1" t="s">
        <v>882</v>
      </c>
    </row>
    <row r="421" spans="1:5" x14ac:dyDescent="0.25">
      <c r="A421" t="s">
        <v>762</v>
      </c>
      <c r="B421" s="1" t="s">
        <v>883</v>
      </c>
      <c r="C421">
        <f ca="1">SUM(OFFSET(Данные!C2:C4,2,0))</f>
        <v>5180</v>
      </c>
      <c r="E421" s="1" t="s">
        <v>884</v>
      </c>
    </row>
    <row r="422" spans="1:5" x14ac:dyDescent="0.25">
      <c r="A422" t="s">
        <v>762</v>
      </c>
      <c r="B422" s="1" t="s">
        <v>885</v>
      </c>
      <c r="C422" t="e" cm="1">
        <f t="array" aca="1" ref="C422" ca="1">INDIRECT("Ставка")*10</f>
        <v>#REF!</v>
      </c>
      <c r="E422" s="1" t="s">
        <v>886</v>
      </c>
    </row>
    <row r="423" spans="1:5" x14ac:dyDescent="0.25">
      <c r="A423" t="s">
        <v>762</v>
      </c>
      <c r="B423" s="1" t="s">
        <v>887</v>
      </c>
      <c r="C423" cm="1">
        <f t="array" ref="C423">SUM(ROW(Данные!A1:A3))</f>
        <v>6</v>
      </c>
      <c r="E423" s="1" t="s">
        <v>888</v>
      </c>
    </row>
    <row r="424" spans="1:5" x14ac:dyDescent="0.25">
      <c r="A424" t="s">
        <v>762</v>
      </c>
      <c r="B424" s="1" t="s">
        <v>889</v>
      </c>
      <c r="C424">
        <f>COLUMN()</f>
        <v>3</v>
      </c>
      <c r="E424" s="1" t="s">
        <v>890</v>
      </c>
    </row>
    <row r="425" spans="1:5" x14ac:dyDescent="0.25">
      <c r="A425" t="s">
        <v>762</v>
      </c>
      <c r="B425" s="1" t="s">
        <v>891</v>
      </c>
      <c r="C425">
        <f>ROW()</f>
        <v>425</v>
      </c>
      <c r="E425" s="1" t="s">
        <v>892</v>
      </c>
    </row>
    <row r="426" spans="1:5" x14ac:dyDescent="0.25">
      <c r="A426" t="s">
        <v>762</v>
      </c>
      <c r="B426" s="1" t="s">
        <v>893</v>
      </c>
      <c r="C426">
        <f>_xlfn.RANK.AVG(980,Данные!C2:C11)</f>
        <v>5</v>
      </c>
      <c r="E426" s="1" t="s">
        <v>894</v>
      </c>
    </row>
    <row r="427" spans="1:5" x14ac:dyDescent="0.25">
      <c r="A427" t="s">
        <v>762</v>
      </c>
      <c r="B427" s="1" t="s">
        <v>895</v>
      </c>
      <c r="C427">
        <f>_xlfn.RANK.EQ(1200,Данные!C2:C11)</f>
        <v>4</v>
      </c>
      <c r="E427" s="1" t="s">
        <v>896</v>
      </c>
    </row>
    <row r="428" spans="1:5" x14ac:dyDescent="0.25">
      <c r="A428" t="s">
        <v>762</v>
      </c>
      <c r="B428" s="1" t="s">
        <v>897</v>
      </c>
      <c r="C428" t="e">
        <f>SEARCH("с","Сумма",2)</f>
        <v>#VALUE!</v>
      </c>
      <c r="E428" s="1" t="s">
        <v>898</v>
      </c>
    </row>
    <row r="429" spans="1:5" x14ac:dyDescent="0.25">
      <c r="A429" t="s">
        <v>762</v>
      </c>
      <c r="B429" s="1" t="s">
        <v>899</v>
      </c>
      <c r="C429">
        <f>SEARCH("~*","a*b")</f>
        <v>2</v>
      </c>
      <c r="E429" s="1" t="s">
        <v>900</v>
      </c>
    </row>
    <row r="430" spans="1:5" x14ac:dyDescent="0.25">
      <c r="A430" t="s">
        <v>762</v>
      </c>
      <c r="B430" s="1" t="s">
        <v>901</v>
      </c>
      <c r="C430" t="str">
        <f>REPLACE("Привет",1,1,"п")</f>
        <v>привет</v>
      </c>
      <c r="E430" s="1" t="s">
        <v>902</v>
      </c>
    </row>
    <row r="431" spans="1:5" x14ac:dyDescent="0.25">
      <c r="A431" t="s">
        <v>762</v>
      </c>
      <c r="B431" s="1" t="s">
        <v>903</v>
      </c>
      <c r="C431" t="str">
        <f>PROPER("o'neil-смит ИВАНОВ")</f>
        <v>O'Neil-Смит Иванов</v>
      </c>
      <c r="E431" s="1" t="s">
        <v>904</v>
      </c>
    </row>
    <row r="432" spans="1:5" x14ac:dyDescent="0.25">
      <c r="A432" t="s">
        <v>762</v>
      </c>
      <c r="B432" s="1" t="s">
        <v>905</v>
      </c>
      <c r="C432" t="str">
        <f>CHAR(200)</f>
        <v>И</v>
      </c>
      <c r="E432" s="1" t="s">
        <v>906</v>
      </c>
    </row>
    <row r="433" spans="1:5" x14ac:dyDescent="0.25">
      <c r="A433" t="s">
        <v>762</v>
      </c>
      <c r="B433" s="1" t="s">
        <v>907</v>
      </c>
      <c r="C433">
        <f>CODE("И")</f>
        <v>200</v>
      </c>
      <c r="E433" s="1" t="s">
        <v>908</v>
      </c>
    </row>
    <row r="434" spans="1:5" x14ac:dyDescent="0.25">
      <c r="A434" t="s">
        <v>762</v>
      </c>
      <c r="B434" s="1" t="s">
        <v>909</v>
      </c>
      <c r="C434">
        <f>CODE("€")</f>
        <v>136</v>
      </c>
      <c r="E434" s="1" t="s">
        <v>910</v>
      </c>
    </row>
    <row r="435" spans="1:5" x14ac:dyDescent="0.25">
      <c r="A435" t="s">
        <v>762</v>
      </c>
      <c r="B435" s="1" t="s">
        <v>911</v>
      </c>
      <c r="C435" t="str">
        <f>_xlfn.TEXTJOIN({"-","+"},TRUE,1,2,3,4)</f>
        <v>1-2+3-4</v>
      </c>
      <c r="E435" s="1" t="s">
        <v>912</v>
      </c>
    </row>
    <row r="436" spans="1:5" x14ac:dyDescent="0.25">
      <c r="A436" t="s">
        <v>762</v>
      </c>
      <c r="B436" s="1" t="s">
        <v>913</v>
      </c>
      <c r="C436" t="str">
        <f>FIXED(-1234.567,-2)</f>
        <v>-1 200</v>
      </c>
      <c r="E436" s="1" t="s">
        <v>914</v>
      </c>
    </row>
    <row r="437" spans="1:5" x14ac:dyDescent="0.25">
      <c r="A437" t="s">
        <v>762</v>
      </c>
      <c r="B437" s="1" t="s">
        <v>915</v>
      </c>
      <c r="C437" t="str">
        <f>FIXED(1234.567,1,TRUE)</f>
        <v>1234,6</v>
      </c>
      <c r="E437" s="1" t="s">
        <v>916</v>
      </c>
    </row>
    <row r="438" spans="1:5" x14ac:dyDescent="0.25">
      <c r="A438" t="s">
        <v>762</v>
      </c>
      <c r="B438" s="1" t="s">
        <v>917</v>
      </c>
      <c r="C438" t="str">
        <f>DOLLAR(-1234.567,1)</f>
        <v>-1 234,6 ₽</v>
      </c>
      <c r="E438" s="1" t="s">
        <v>918</v>
      </c>
    </row>
    <row r="439" spans="1:5" x14ac:dyDescent="0.25">
      <c r="A439" t="s">
        <v>762</v>
      </c>
      <c r="B439" s="1" t="s">
        <v>919</v>
      </c>
      <c r="C439">
        <f>_xlfn.NUMBERVALUE("12,5%")</f>
        <v>0.125</v>
      </c>
      <c r="E439" s="1" t="s">
        <v>920</v>
      </c>
    </row>
    <row r="440" spans="1:5" x14ac:dyDescent="0.25">
      <c r="A440" t="s">
        <v>762</v>
      </c>
      <c r="B440" s="1" t="s">
        <v>921</v>
      </c>
      <c r="C440" t="str">
        <f>TEXT(0.5,"ч:мм")</f>
        <v>12:00</v>
      </c>
      <c r="E440" s="1" t="s">
        <v>922</v>
      </c>
    </row>
    <row r="441" spans="1:5" x14ac:dyDescent="0.25">
      <c r="A441" t="s">
        <v>762</v>
      </c>
      <c r="B441" s="1" t="s">
        <v>923</v>
      </c>
      <c r="C441" t="str">
        <f>TEXT(46301.75,"ДД.ММ.ГГ ч:мм")</f>
        <v>06.10.26 18:00</v>
      </c>
      <c r="E441" s="1" t="s">
        <v>924</v>
      </c>
    </row>
    <row r="442" spans="1:5" x14ac:dyDescent="0.25">
      <c r="A442" t="s">
        <v>762</v>
      </c>
      <c r="B442" s="1" t="s">
        <v>925</v>
      </c>
      <c r="C442" t="str">
        <f>TEXT(1234.5,"0,0")</f>
        <v>1234,5</v>
      </c>
      <c r="E442" s="1" t="s">
        <v>926</v>
      </c>
    </row>
    <row r="443" spans="1:5" x14ac:dyDescent="0.25">
      <c r="A443" t="s">
        <v>762</v>
      </c>
      <c r="B443" s="1" t="s">
        <v>927</v>
      </c>
      <c r="C443" t="str">
        <f>TEXT(-5,"0;(0)")</f>
        <v>(5)</v>
      </c>
      <c r="E443" s="1" t="s">
        <v>928</v>
      </c>
    </row>
    <row r="444" spans="1:5" x14ac:dyDescent="0.25">
      <c r="A444" t="s">
        <v>762</v>
      </c>
      <c r="B444" s="1" t="s">
        <v>929</v>
      </c>
      <c r="C444" t="str">
        <f>TEXT(46301,"ДДД")</f>
        <v>Вт</v>
      </c>
      <c r="E444" s="1" t="s">
        <v>930</v>
      </c>
    </row>
    <row r="445" spans="1:5" x14ac:dyDescent="0.25">
      <c r="A445" t="s">
        <v>762</v>
      </c>
      <c r="B445" s="1" t="s">
        <v>931</v>
      </c>
      <c r="C445" t="str">
        <f>TEXT(0.123,"0,0%")</f>
        <v>12,3%</v>
      </c>
      <c r="E445" s="1" t="s">
        <v>932</v>
      </c>
    </row>
    <row r="446" spans="1:5" x14ac:dyDescent="0.25">
      <c r="A446" t="s">
        <v>762</v>
      </c>
      <c r="B446" s="1" t="s">
        <v>933</v>
      </c>
      <c r="C446">
        <f>LARGE(Данные!C2:C11,1)</f>
        <v>4200</v>
      </c>
      <c r="E446" s="1" t="s">
        <v>934</v>
      </c>
    </row>
    <row r="447" spans="1:5" x14ac:dyDescent="0.25">
      <c r="A447" t="s">
        <v>762</v>
      </c>
      <c r="B447" s="1" t="s">
        <v>935</v>
      </c>
      <c r="C447">
        <f>SMALL(Данные!E2:E11,10)</f>
        <v>8</v>
      </c>
      <c r="E447" s="1" t="s">
        <v>936</v>
      </c>
    </row>
    <row r="448" spans="1:5" x14ac:dyDescent="0.25">
      <c r="A448" t="s">
        <v>762</v>
      </c>
      <c r="B448" s="1" t="s">
        <v>937</v>
      </c>
      <c r="C448">
        <f>MODE(1,2,2,3,3)</f>
        <v>2</v>
      </c>
      <c r="E448" s="1" t="s">
        <v>938</v>
      </c>
    </row>
    <row r="449" spans="1:5" x14ac:dyDescent="0.25">
      <c r="A449" t="s">
        <v>762</v>
      </c>
      <c r="B449" s="1" t="s">
        <v>939</v>
      </c>
      <c r="C449">
        <f>PERCENTRANK(Данные!C2:C11,1000)</f>
        <v>0.56499999999999995</v>
      </c>
      <c r="E449" s="1" t="s">
        <v>940</v>
      </c>
    </row>
    <row r="450" spans="1:5" x14ac:dyDescent="0.25">
      <c r="A450" t="s">
        <v>762</v>
      </c>
      <c r="B450" s="1" t="s">
        <v>941</v>
      </c>
      <c r="C450">
        <f>PERCENTRANK(Данные!C2:C11,980,5)</f>
        <v>0.55554999999999999</v>
      </c>
      <c r="E450" s="1" t="s">
        <v>942</v>
      </c>
    </row>
    <row r="451" spans="1:5" x14ac:dyDescent="0.25">
      <c r="A451" t="s">
        <v>762</v>
      </c>
      <c r="B451" s="1" t="s">
        <v>943</v>
      </c>
      <c r="C451">
        <f>QUARTILE(Данные!C2:C11,0)</f>
        <v>-200</v>
      </c>
      <c r="E451" s="1" t="s">
        <v>944</v>
      </c>
    </row>
    <row r="452" spans="1:5" x14ac:dyDescent="0.25">
      <c r="A452" t="s">
        <v>762</v>
      </c>
      <c r="B452" s="1" t="s">
        <v>945</v>
      </c>
      <c r="C452">
        <f>QUARTILE(Данные!C2:C11,4)</f>
        <v>4200</v>
      </c>
      <c r="E452" s="1" t="s">
        <v>946</v>
      </c>
    </row>
    <row r="453" spans="1:5" x14ac:dyDescent="0.25">
      <c r="A453" t="s">
        <v>762</v>
      </c>
      <c r="B453" s="1" t="s">
        <v>947</v>
      </c>
      <c r="C453">
        <f>PERCENTILE(Данные!E2:E11,0.25)</f>
        <v>2</v>
      </c>
      <c r="E453" s="1" t="s">
        <v>948</v>
      </c>
    </row>
    <row r="454" spans="1:5" x14ac:dyDescent="0.25">
      <c r="A454" t="s">
        <v>762</v>
      </c>
      <c r="B454" s="1" t="s">
        <v>949</v>
      </c>
      <c r="C454">
        <f>_xlfn.NORM.S.INV(0.975)</f>
        <v>1.9599639845400536</v>
      </c>
      <c r="E454" s="1" t="s">
        <v>950</v>
      </c>
    </row>
    <row r="455" spans="1:5" x14ac:dyDescent="0.25">
      <c r="A455" t="s">
        <v>762</v>
      </c>
      <c r="B455" s="1" t="s">
        <v>951</v>
      </c>
      <c r="C455">
        <f>_xlfn.NORM.DIST(1,0,1,FALSE)</f>
        <v>0.24197072451914337</v>
      </c>
      <c r="E455" s="1" t="s">
        <v>952</v>
      </c>
    </row>
    <row r="456" spans="1:5" x14ac:dyDescent="0.25">
      <c r="A456" t="s">
        <v>762</v>
      </c>
      <c r="B456" s="1" t="s">
        <v>953</v>
      </c>
      <c r="C456">
        <f>_xlfn.NORM.INV(0.001,10,2)</f>
        <v>3.8195353876643736</v>
      </c>
      <c r="E456" s="1" t="s">
        <v>954</v>
      </c>
    </row>
    <row r="457" spans="1:5" x14ac:dyDescent="0.25">
      <c r="A457" t="s">
        <v>762</v>
      </c>
      <c r="B457" s="1" t="s">
        <v>955</v>
      </c>
      <c r="C457">
        <f>SUM(FREQUENCY(Данные!E2:E11,{2,4}))</f>
        <v>10</v>
      </c>
      <c r="E457" s="1" t="s">
        <v>956</v>
      </c>
    </row>
    <row r="458" spans="1:5" x14ac:dyDescent="0.25">
      <c r="A458" t="s">
        <v>762</v>
      </c>
      <c r="B458" s="1" t="s">
        <v>957</v>
      </c>
      <c r="C458">
        <f>GEOMEAN(1,2,4,8)</f>
        <v>2.8284271247461898</v>
      </c>
      <c r="E458" s="1" t="s">
        <v>958</v>
      </c>
    </row>
    <row r="459" spans="1:5" x14ac:dyDescent="0.25">
      <c r="A459" t="s">
        <v>762</v>
      </c>
      <c r="B459" s="1" t="s">
        <v>959</v>
      </c>
      <c r="C459">
        <f>SUBTOTAL(1,Данные!C2:C11)</f>
        <v>1178.575</v>
      </c>
      <c r="E459" s="1" t="s">
        <v>960</v>
      </c>
    </row>
    <row r="460" spans="1:5" x14ac:dyDescent="0.25">
      <c r="A460" t="s">
        <v>762</v>
      </c>
      <c r="B460" s="1" t="s">
        <v>961</v>
      </c>
      <c r="C460">
        <f>SUBTOTAL(2,Данные!A1:C11)</f>
        <v>10</v>
      </c>
      <c r="E460" s="1" t="s">
        <v>962</v>
      </c>
    </row>
    <row r="461" spans="1:5" x14ac:dyDescent="0.25">
      <c r="A461" t="s">
        <v>762</v>
      </c>
      <c r="B461" s="1" t="s">
        <v>963</v>
      </c>
      <c r="C461">
        <f>SUBTOTAL(104,Данные!C2:C11)</f>
        <v>4200</v>
      </c>
      <c r="E461" s="1" t="s">
        <v>964</v>
      </c>
    </row>
    <row r="462" spans="1:5" x14ac:dyDescent="0.25">
      <c r="A462" t="s">
        <v>762</v>
      </c>
      <c r="B462" s="1" t="s">
        <v>965</v>
      </c>
      <c r="C462">
        <f>_xlfn.AGGREGATE(14,6,Данные!G2:G11,1)</f>
        <v>5</v>
      </c>
      <c r="E462" s="1" t="s">
        <v>966</v>
      </c>
    </row>
    <row r="463" spans="1:5" x14ac:dyDescent="0.25">
      <c r="A463" t="s">
        <v>762</v>
      </c>
      <c r="B463" s="1" t="s">
        <v>967</v>
      </c>
      <c r="C463">
        <f>_xlfn.AGGREGATE(4,6,Данные!G2:G11)</f>
        <v>5</v>
      </c>
      <c r="E463" s="1" t="s">
        <v>968</v>
      </c>
    </row>
    <row r="464" spans="1:5" x14ac:dyDescent="0.25">
      <c r="A464" t="s">
        <v>762</v>
      </c>
      <c r="B464" s="1" t="s">
        <v>969</v>
      </c>
      <c r="C464">
        <f>COUNTIFS(Данные!A2:A11,"*а",Данные!E2:E11,"&lt;5")</f>
        <v>2</v>
      </c>
      <c r="E464" s="1" t="s">
        <v>970</v>
      </c>
    </row>
    <row r="465" spans="1:5" x14ac:dyDescent="0.25">
      <c r="A465" t="s">
        <v>762</v>
      </c>
      <c r="B465" s="1" t="s">
        <v>971</v>
      </c>
      <c r="C465">
        <f>SUMIFS(Данные!C2:C11,Данные!D2:D11,"&gt;="&amp;DATE(2026,1,1))</f>
        <v>11005.75</v>
      </c>
      <c r="E465" s="1" t="s">
        <v>972</v>
      </c>
    </row>
    <row r="466" spans="1:5" x14ac:dyDescent="0.25">
      <c r="A466" t="s">
        <v>762</v>
      </c>
      <c r="B466" s="1" t="s">
        <v>973</v>
      </c>
      <c r="C466">
        <f>_xlfn.MAXIFS(Данные!C2:C11,Данные!B2:B11,"Нет")</f>
        <v>0</v>
      </c>
      <c r="E466" s="1" t="s">
        <v>974</v>
      </c>
    </row>
    <row r="467" spans="1:5" x14ac:dyDescent="0.25">
      <c r="A467" t="s">
        <v>762</v>
      </c>
      <c r="B467" s="1" t="s">
        <v>975</v>
      </c>
      <c r="C467" t="e">
        <f>AVERAGEIFS(Данные!C2:C11,Данные!B2:B11,"Нет")</f>
        <v>#DIV/0!</v>
      </c>
      <c r="E467" s="1" t="s">
        <v>976</v>
      </c>
    </row>
    <row r="468" spans="1:5" x14ac:dyDescent="0.25">
      <c r="A468" t="s">
        <v>762</v>
      </c>
      <c r="B468" s="1" t="s">
        <v>977</v>
      </c>
      <c r="C468" s="5">
        <f>PMT(0,12,1200)</f>
        <v>-100</v>
      </c>
      <c r="E468" s="1" t="s">
        <v>978</v>
      </c>
    </row>
    <row r="469" spans="1:5" x14ac:dyDescent="0.25">
      <c r="A469" t="s">
        <v>762</v>
      </c>
      <c r="B469" s="1" t="s">
        <v>979</v>
      </c>
      <c r="C469" s="5">
        <f>FV(0.01,12,-100,-1000,1)</f>
        <v>2407.7578344648646</v>
      </c>
      <c r="E469" s="1" t="s">
        <v>980</v>
      </c>
    </row>
    <row r="470" spans="1:5" x14ac:dyDescent="0.25">
      <c r="A470" t="s">
        <v>762</v>
      </c>
      <c r="B470" s="1" t="s">
        <v>981</v>
      </c>
      <c r="C470" s="5">
        <f>PV(0,10,-100)</f>
        <v>1000</v>
      </c>
      <c r="E470" s="1" t="s">
        <v>982</v>
      </c>
    </row>
    <row r="471" spans="1:5" x14ac:dyDescent="0.25">
      <c r="A471" t="s">
        <v>762</v>
      </c>
      <c r="B471" s="1" t="s">
        <v>983</v>
      </c>
      <c r="C471">
        <f>NPER(0,-100,1000)</f>
        <v>10</v>
      </c>
      <c r="E471" s="1" t="s">
        <v>984</v>
      </c>
    </row>
    <row r="472" spans="1:5" x14ac:dyDescent="0.25">
      <c r="A472" t="s">
        <v>762</v>
      </c>
      <c r="B472" s="1" t="s">
        <v>985</v>
      </c>
      <c r="C472" s="5">
        <f>IPMT(0.01,3,12,1000,0,1)</f>
        <v>-8.3318211362032972</v>
      </c>
      <c r="E472" s="1" t="s">
        <v>986</v>
      </c>
    </row>
    <row r="473" spans="1:5" x14ac:dyDescent="0.25">
      <c r="A473" t="s">
        <v>762</v>
      </c>
      <c r="B473" s="1" t="s">
        <v>987</v>
      </c>
      <c r="C473" s="5">
        <f>PPMT(0.01,12,12,1000)</f>
        <v>-87.969097701328394</v>
      </c>
      <c r="E473" s="1" t="s">
        <v>988</v>
      </c>
    </row>
    <row r="474" spans="1:5" x14ac:dyDescent="0.25">
      <c r="A474" t="s">
        <v>762</v>
      </c>
      <c r="B474" s="1" t="s">
        <v>989</v>
      </c>
      <c r="C474" s="6">
        <f>RATE(10,-100,800,0,1)</f>
        <v>5.3446167393060025E-2</v>
      </c>
      <c r="E474" s="1" t="s">
        <v>990</v>
      </c>
    </row>
    <row r="475" spans="1:5" x14ac:dyDescent="0.25">
      <c r="A475" t="s">
        <v>762</v>
      </c>
      <c r="B475" s="1" t="s">
        <v>991</v>
      </c>
      <c r="C475" s="5">
        <f>NPV(0.08,Данные!C2:C5)</f>
        <v>5451.5864649133191</v>
      </c>
      <c r="E475" s="1" t="s">
        <v>992</v>
      </c>
    </row>
    <row r="476" spans="1:5" x14ac:dyDescent="0.25">
      <c r="A476" t="s">
        <v>762</v>
      </c>
      <c r="B476" s="1" t="s">
        <v>993</v>
      </c>
      <c r="C476" s="6">
        <f>IRR({-500,100,200,300},0.2)</f>
        <v>8.2082635483042621E-2</v>
      </c>
      <c r="E476" s="1" t="s">
        <v>994</v>
      </c>
    </row>
    <row r="477" spans="1:5" x14ac:dyDescent="0.25">
      <c r="A477" t="s">
        <v>762</v>
      </c>
      <c r="B477" s="1" t="s">
        <v>995</v>
      </c>
      <c r="C477" s="5">
        <f>DB(10000,1000,5,6,7)</f>
        <v>191.27749950985103</v>
      </c>
      <c r="E477" s="1" t="s">
        <v>996</v>
      </c>
    </row>
    <row r="478" spans="1:5" x14ac:dyDescent="0.25">
      <c r="A478" t="s">
        <v>762</v>
      </c>
      <c r="B478" s="1" t="s">
        <v>997</v>
      </c>
      <c r="C478" s="5">
        <f>DDB(10000,1000,5,5)</f>
        <v>296</v>
      </c>
      <c r="E478" s="1" t="s">
        <v>998</v>
      </c>
    </row>
    <row r="479" spans="1:5" x14ac:dyDescent="0.25">
      <c r="A479" t="s">
        <v>762</v>
      </c>
      <c r="B479" s="1" t="s">
        <v>999</v>
      </c>
      <c r="C479" s="5">
        <f>SYD(10000,1000,5,5)</f>
        <v>600</v>
      </c>
      <c r="E479" s="1" t="s">
        <v>1000</v>
      </c>
    </row>
    <row r="480" spans="1:5" x14ac:dyDescent="0.25">
      <c r="A480" t="s">
        <v>762</v>
      </c>
      <c r="B480" s="1" t="s">
        <v>1001</v>
      </c>
      <c r="C480" t="b">
        <f>ISEVEN(-3.5)</f>
        <v>0</v>
      </c>
      <c r="E480" s="1" t="s">
        <v>1002</v>
      </c>
    </row>
    <row r="481" spans="1:5" x14ac:dyDescent="0.25">
      <c r="A481" t="s">
        <v>762</v>
      </c>
      <c r="B481" s="1" t="s">
        <v>1003</v>
      </c>
      <c r="C481" t="b">
        <f>ISODD(5.9)</f>
        <v>1</v>
      </c>
      <c r="E481" s="1" t="s">
        <v>1004</v>
      </c>
    </row>
    <row r="482" spans="1:5" x14ac:dyDescent="0.25">
      <c r="A482" t="s">
        <v>762</v>
      </c>
      <c r="B482" s="1" t="s">
        <v>1005</v>
      </c>
      <c r="C482">
        <f>N("7")</f>
        <v>0</v>
      </c>
      <c r="E482" s="1" t="s">
        <v>1006</v>
      </c>
    </row>
    <row r="483" spans="1:5" x14ac:dyDescent="0.25">
      <c r="A483" t="s">
        <v>762</v>
      </c>
      <c r="B483" s="1" t="s">
        <v>1007</v>
      </c>
      <c r="C483">
        <f>N(TRUE)</f>
        <v>1</v>
      </c>
      <c r="E483" s="1" t="s">
        <v>1008</v>
      </c>
    </row>
    <row r="484" spans="1:5" x14ac:dyDescent="0.25">
      <c r="A484" t="s">
        <v>762</v>
      </c>
      <c r="B484" s="1" t="s">
        <v>1009</v>
      </c>
      <c r="C484">
        <f>TYPE({1,2})</f>
        <v>64</v>
      </c>
      <c r="E484" s="1" t="s">
        <v>1010</v>
      </c>
    </row>
    <row r="485" spans="1:5" x14ac:dyDescent="0.25">
      <c r="A485" t="s">
        <v>762</v>
      </c>
      <c r="B485" s="1" t="s">
        <v>1011</v>
      </c>
      <c r="C485">
        <f>TYPE(TRUE)</f>
        <v>4</v>
      </c>
      <c r="E485" s="1" t="s">
        <v>1012</v>
      </c>
    </row>
    <row r="486" spans="1:5" x14ac:dyDescent="0.25">
      <c r="A486" t="s">
        <v>762</v>
      </c>
      <c r="B486" s="1" t="s">
        <v>1013</v>
      </c>
      <c r="C486">
        <f>ERROR.TYPE(#N/A)</f>
        <v>7</v>
      </c>
      <c r="E486" s="1" t="s">
        <v>1014</v>
      </c>
    </row>
    <row r="487" spans="1:5" x14ac:dyDescent="0.25">
      <c r="A487" t="s">
        <v>762</v>
      </c>
      <c r="B487" s="1" t="s">
        <v>1015</v>
      </c>
      <c r="C487">
        <f ca="1">_xlfn.SHEET(Кв2!A1)</f>
        <v>3</v>
      </c>
      <c r="E487" s="1" t="s">
        <v>1016</v>
      </c>
    </row>
    <row r="488" spans="1:5" x14ac:dyDescent="0.25">
      <c r="A488" t="s">
        <v>762</v>
      </c>
      <c r="B488" s="1" t="s">
        <v>1017</v>
      </c>
      <c r="C488">
        <f ca="1">_xlfn.SHEET("Кв3")</f>
        <v>4</v>
      </c>
      <c r="E488" s="1" t="s">
        <v>1018</v>
      </c>
    </row>
    <row r="489" spans="1:5" x14ac:dyDescent="0.25">
      <c r="A489" t="s">
        <v>762</v>
      </c>
      <c r="B489" s="1" t="s">
        <v>1019</v>
      </c>
      <c r="C489" cm="1">
        <f t="array" aca="1" ref="C489" ca="1">CELL("col",Данные!C5)</f>
        <v>3</v>
      </c>
      <c r="E489" s="1" t="s">
        <v>1020</v>
      </c>
    </row>
    <row r="490" spans="1:5" x14ac:dyDescent="0.25">
      <c r="A490" t="s">
        <v>762</v>
      </c>
      <c r="B490" s="1" t="s">
        <v>1021</v>
      </c>
      <c r="C490" t="str" cm="1">
        <f t="array" aca="1" ref="C490" ca="1">CELL("type",Данные!A1)</f>
        <v>l</v>
      </c>
      <c r="E490" s="1" t="s">
        <v>1022</v>
      </c>
    </row>
    <row r="491" spans="1:5" x14ac:dyDescent="0.25">
      <c r="A491" t="s">
        <v>762</v>
      </c>
      <c r="B491" s="1" t="s">
        <v>1023</v>
      </c>
      <c r="C491" cm="1">
        <f t="array" aca="1" ref="C491" ca="1">CELL("contents",Данные!C3)</f>
        <v>230.5</v>
      </c>
      <c r="E491" s="1" t="s">
        <v>1024</v>
      </c>
    </row>
    <row r="492" spans="1:5" x14ac:dyDescent="0.25">
      <c r="A492" t="s">
        <v>762</v>
      </c>
      <c r="B492" s="1" t="s">
        <v>1025</v>
      </c>
      <c r="C492">
        <f>_xlfn.LET(_xlpm.a,Данные!C2:C11,SUM(_xlpm.a)/COUNT(_xlpm.a))</f>
        <v>1178.575</v>
      </c>
      <c r="E492" s="1" t="s">
        <v>1026</v>
      </c>
    </row>
    <row r="493" spans="1:5" x14ac:dyDescent="0.25">
      <c r="A493" t="s">
        <v>762</v>
      </c>
      <c r="B493" s="1" t="s">
        <v>1027</v>
      </c>
      <c r="C493" t="e" cm="1">
        <f t="array" ref="C493">_xlfn.IFS(FALSE,1)</f>
        <v>#N/A</v>
      </c>
      <c r="E493" s="1" t="s">
        <v>1028</v>
      </c>
    </row>
    <row r="494" spans="1:5" x14ac:dyDescent="0.25">
      <c r="A494" t="s">
        <v>762</v>
      </c>
      <c r="B494" s="1" t="s">
        <v>1029</v>
      </c>
      <c r="C494" cm="1">
        <f t="array" ref="C494">_xlfn.SWITCH("б","а",1,"Б",2)</f>
        <v>2</v>
      </c>
      <c r="E494" s="1" t="s">
        <v>1030</v>
      </c>
    </row>
    <row r="495" spans="1:5" x14ac:dyDescent="0.25">
      <c r="A495" t="s">
        <v>762</v>
      </c>
      <c r="B495" s="1" t="s">
        <v>1031</v>
      </c>
      <c r="C495" t="b">
        <f>_xlfn.XOR(1,0)</f>
        <v>1</v>
      </c>
      <c r="E495" s="1" t="s">
        <v>1032</v>
      </c>
    </row>
    <row r="496" spans="1:5" x14ac:dyDescent="0.25">
      <c r="A496" t="s">
        <v>762</v>
      </c>
      <c r="B496" s="1" t="s">
        <v>1033</v>
      </c>
      <c r="C496">
        <f>_xlfn.IFNA(VLOOKUP("Нет",Данные!A2:C11,3,0),0)</f>
        <v>0</v>
      </c>
      <c r="E496" s="1" t="s">
        <v>1034</v>
      </c>
    </row>
    <row r="497" spans="1:5" x14ac:dyDescent="0.25">
      <c r="A497" t="s">
        <v>1035</v>
      </c>
      <c r="B497" s="1" t="s">
        <v>1036</v>
      </c>
      <c r="C497">
        <f>ACOSH(2)</f>
        <v>1.3169578969248166</v>
      </c>
      <c r="E497" s="1" t="s">
        <v>1037</v>
      </c>
    </row>
    <row r="498" spans="1:5" x14ac:dyDescent="0.25">
      <c r="A498" t="s">
        <v>1035</v>
      </c>
      <c r="B498" s="1" t="s">
        <v>1038</v>
      </c>
      <c r="C498">
        <f>ASINH(1)</f>
        <v>0.88137358701954294</v>
      </c>
      <c r="E498" s="1" t="s">
        <v>1039</v>
      </c>
    </row>
    <row r="499" spans="1:5" x14ac:dyDescent="0.25">
      <c r="A499" t="s">
        <v>1035</v>
      </c>
      <c r="B499" s="1" t="s">
        <v>1040</v>
      </c>
      <c r="C499">
        <f>ATANH(0.5)</f>
        <v>0.54930614433405489</v>
      </c>
      <c r="E499" s="1" t="s">
        <v>1041</v>
      </c>
    </row>
    <row r="500" spans="1:5" x14ac:dyDescent="0.25">
      <c r="A500" t="s">
        <v>1035</v>
      </c>
      <c r="B500" s="1" t="s">
        <v>1042</v>
      </c>
      <c r="C500">
        <f>_xlfn.ACOT(2)</f>
        <v>0.46364760900080609</v>
      </c>
      <c r="E500" s="1" t="s">
        <v>1043</v>
      </c>
    </row>
    <row r="501" spans="1:5" x14ac:dyDescent="0.25">
      <c r="A501" t="s">
        <v>1035</v>
      </c>
      <c r="B501" s="1" t="s">
        <v>1044</v>
      </c>
      <c r="C501">
        <f>_xlfn.ACOTH(3)</f>
        <v>0.34657359027997264</v>
      </c>
      <c r="E501" s="1" t="s">
        <v>1045</v>
      </c>
    </row>
    <row r="502" spans="1:5" x14ac:dyDescent="0.25">
      <c r="A502" t="s">
        <v>1035</v>
      </c>
      <c r="B502" s="1" t="s">
        <v>1046</v>
      </c>
      <c r="C502">
        <f>_xlfn.COT(1)</f>
        <v>0.64209261593433065</v>
      </c>
      <c r="E502" s="1" t="s">
        <v>1047</v>
      </c>
    </row>
    <row r="503" spans="1:5" x14ac:dyDescent="0.25">
      <c r="A503" t="s">
        <v>1035</v>
      </c>
      <c r="B503" s="1" t="s">
        <v>1048</v>
      </c>
      <c r="C503">
        <f>_xlfn.COTH(1)</f>
        <v>1.3130352854993315</v>
      </c>
      <c r="E503" s="1" t="s">
        <v>1049</v>
      </c>
    </row>
    <row r="504" spans="1:5" x14ac:dyDescent="0.25">
      <c r="A504" t="s">
        <v>1035</v>
      </c>
      <c r="B504" s="1" t="s">
        <v>1050</v>
      </c>
      <c r="C504">
        <f>_xlfn.CSC(1)</f>
        <v>1.1883951057781212</v>
      </c>
      <c r="E504" s="1" t="s">
        <v>1051</v>
      </c>
    </row>
    <row r="505" spans="1:5" x14ac:dyDescent="0.25">
      <c r="A505" t="s">
        <v>1035</v>
      </c>
      <c r="B505" s="1" t="s">
        <v>1052</v>
      </c>
      <c r="C505">
        <f>_xlfn.CSCH(1)</f>
        <v>0.85091812823932156</v>
      </c>
      <c r="E505" s="1" t="s">
        <v>1053</v>
      </c>
    </row>
    <row r="506" spans="1:5" x14ac:dyDescent="0.25">
      <c r="A506" t="s">
        <v>1035</v>
      </c>
      <c r="B506" s="1" t="s">
        <v>1054</v>
      </c>
      <c r="C506">
        <f>_xlfn.SEC(1)</f>
        <v>1.8508157176809255</v>
      </c>
      <c r="E506" s="1" t="s">
        <v>1055</v>
      </c>
    </row>
    <row r="507" spans="1:5" x14ac:dyDescent="0.25">
      <c r="A507" t="s">
        <v>1035</v>
      </c>
      <c r="B507" s="1" t="s">
        <v>1056</v>
      </c>
      <c r="C507">
        <f>_xlfn.SECH(1)</f>
        <v>0.64805427366388546</v>
      </c>
      <c r="E507" s="1" t="s">
        <v>1057</v>
      </c>
    </row>
    <row r="508" spans="1:5" x14ac:dyDescent="0.25">
      <c r="A508" t="s">
        <v>1035</v>
      </c>
      <c r="B508" s="1" t="s">
        <v>1058</v>
      </c>
      <c r="C508">
        <f>_xlfn.COMBINA(4,3)</f>
        <v>20</v>
      </c>
      <c r="E508" s="1" t="s">
        <v>1059</v>
      </c>
    </row>
    <row r="509" spans="1:5" x14ac:dyDescent="0.25">
      <c r="A509" t="s">
        <v>1035</v>
      </c>
      <c r="B509" s="1" t="s">
        <v>1060</v>
      </c>
      <c r="C509">
        <f>_xlfn.PERMUTATIONA(3,2)</f>
        <v>9</v>
      </c>
      <c r="E509" s="1" t="s">
        <v>1061</v>
      </c>
    </row>
    <row r="510" spans="1:5" x14ac:dyDescent="0.25">
      <c r="A510" t="s">
        <v>1035</v>
      </c>
      <c r="B510" s="1" t="s">
        <v>1062</v>
      </c>
      <c r="C510">
        <f>FACTDOUBLE(7)</f>
        <v>105</v>
      </c>
      <c r="E510" s="1" t="s">
        <v>1063</v>
      </c>
    </row>
    <row r="511" spans="1:5" x14ac:dyDescent="0.25">
      <c r="A511" t="s">
        <v>1035</v>
      </c>
      <c r="B511" s="1" t="s">
        <v>1064</v>
      </c>
      <c r="C511">
        <f>FACTDOUBLE(8)</f>
        <v>384</v>
      </c>
      <c r="E511" s="1" t="s">
        <v>1065</v>
      </c>
    </row>
    <row r="512" spans="1:5" x14ac:dyDescent="0.25">
      <c r="A512" t="s">
        <v>1035</v>
      </c>
      <c r="B512" s="1" t="s">
        <v>1066</v>
      </c>
      <c r="C512">
        <f>MULTINOMIAL(2,3,4)</f>
        <v>1259.9999999999991</v>
      </c>
      <c r="E512" s="1" t="s">
        <v>1067</v>
      </c>
    </row>
    <row r="513" spans="1:5" x14ac:dyDescent="0.25">
      <c r="A513" t="s">
        <v>1035</v>
      </c>
      <c r="B513" s="1" t="s">
        <v>1068</v>
      </c>
      <c r="C513">
        <f>SERIESSUM(2,1,1,{1,2,3})</f>
        <v>34</v>
      </c>
      <c r="E513" s="1" t="s">
        <v>1069</v>
      </c>
    </row>
    <row r="514" spans="1:5" x14ac:dyDescent="0.25">
      <c r="A514" t="s">
        <v>1035</v>
      </c>
      <c r="B514" s="1" t="s">
        <v>1070</v>
      </c>
      <c r="C514">
        <f>MDETERM({1,2;3,4})</f>
        <v>-2</v>
      </c>
      <c r="E514" s="1" t="s">
        <v>1071</v>
      </c>
    </row>
    <row r="515" spans="1:5" x14ac:dyDescent="0.25">
      <c r="A515" t="s">
        <v>1035</v>
      </c>
      <c r="B515" s="1" t="s">
        <v>1072</v>
      </c>
      <c r="C515">
        <f>INDEX(MINVERSE({4,7;2,6}),2,1)</f>
        <v>-0.2</v>
      </c>
      <c r="E515" s="1" t="s">
        <v>1073</v>
      </c>
    </row>
    <row r="516" spans="1:5" x14ac:dyDescent="0.25">
      <c r="A516" t="s">
        <v>1035</v>
      </c>
      <c r="B516" s="1" t="s">
        <v>1074</v>
      </c>
      <c r="C516" cm="1">
        <f t="array" ref="C516">INDEX(MMULT({1,2;3,4},{5;6}),2)</f>
        <v>39</v>
      </c>
      <c r="E516" s="1" t="s">
        <v>1075</v>
      </c>
    </row>
    <row r="517" spans="1:5" x14ac:dyDescent="0.25">
      <c r="A517" t="s">
        <v>1035</v>
      </c>
      <c r="B517" s="1" t="s">
        <v>1076</v>
      </c>
      <c r="C517">
        <f>SUM(_xlfn.MUNIT(3))</f>
        <v>3</v>
      </c>
      <c r="E517" s="1" t="s">
        <v>1077</v>
      </c>
    </row>
    <row r="518" spans="1:5" x14ac:dyDescent="0.25">
      <c r="A518" t="s">
        <v>1035</v>
      </c>
      <c r="B518" s="1" t="s">
        <v>1078</v>
      </c>
      <c r="C518">
        <f>BIN2DEC("1111111111")</f>
        <v>-1</v>
      </c>
      <c r="E518" s="1" t="s">
        <v>1079</v>
      </c>
    </row>
    <row r="519" spans="1:5" x14ac:dyDescent="0.25">
      <c r="A519" t="s">
        <v>1035</v>
      </c>
      <c r="B519" s="1" t="s">
        <v>1080</v>
      </c>
      <c r="C519">
        <f>BIN2DEC("101")</f>
        <v>5</v>
      </c>
      <c r="E519" s="1" t="s">
        <v>1081</v>
      </c>
    </row>
    <row r="520" spans="1:5" x14ac:dyDescent="0.25">
      <c r="A520" t="s">
        <v>1035</v>
      </c>
      <c r="B520" s="1" t="s">
        <v>1082</v>
      </c>
      <c r="C520" t="str">
        <f>BIN2HEX("11111011",4)</f>
        <v>00FB</v>
      </c>
      <c r="E520" s="1" t="s">
        <v>1083</v>
      </c>
    </row>
    <row r="521" spans="1:5" x14ac:dyDescent="0.25">
      <c r="A521" t="s">
        <v>1035</v>
      </c>
      <c r="B521" s="1" t="s">
        <v>1084</v>
      </c>
      <c r="C521" t="str">
        <f>BIN2OCT("1001")</f>
        <v>11</v>
      </c>
      <c r="E521" s="1" t="s">
        <v>1085</v>
      </c>
    </row>
    <row r="522" spans="1:5" x14ac:dyDescent="0.25">
      <c r="A522" t="s">
        <v>1035</v>
      </c>
      <c r="B522" s="1" t="s">
        <v>1086</v>
      </c>
      <c r="C522" t="str">
        <f>DEC2BIN(-5)</f>
        <v>1111111011</v>
      </c>
      <c r="E522" s="1" t="s">
        <v>1087</v>
      </c>
    </row>
    <row r="523" spans="1:5" x14ac:dyDescent="0.25">
      <c r="A523" t="s">
        <v>1035</v>
      </c>
      <c r="B523" s="1" t="s">
        <v>1088</v>
      </c>
      <c r="C523" t="str">
        <f>DEC2BIN(9,8)</f>
        <v>00001001</v>
      </c>
      <c r="E523" s="1" t="s">
        <v>1089</v>
      </c>
    </row>
    <row r="524" spans="1:5" x14ac:dyDescent="0.25">
      <c r="A524" t="s">
        <v>1035</v>
      </c>
      <c r="B524" s="1" t="s">
        <v>1090</v>
      </c>
      <c r="C524" t="str">
        <f>DEC2HEX(255)</f>
        <v>FF</v>
      </c>
      <c r="E524" s="1" t="s">
        <v>1091</v>
      </c>
    </row>
    <row r="525" spans="1:5" x14ac:dyDescent="0.25">
      <c r="A525" t="s">
        <v>1035</v>
      </c>
      <c r="B525" s="1" t="s">
        <v>1092</v>
      </c>
      <c r="C525" t="str">
        <f>DEC2HEX(-1)</f>
        <v>FFFFFFFFFF</v>
      </c>
      <c r="E525" s="1" t="s">
        <v>1093</v>
      </c>
    </row>
    <row r="526" spans="1:5" x14ac:dyDescent="0.25">
      <c r="A526" t="s">
        <v>1035</v>
      </c>
      <c r="B526" s="1" t="s">
        <v>1094</v>
      </c>
      <c r="C526" t="str">
        <f>DEC2OCT(58,4)</f>
        <v>0072</v>
      </c>
      <c r="E526" s="1" t="s">
        <v>1095</v>
      </c>
    </row>
    <row r="527" spans="1:5" x14ac:dyDescent="0.25">
      <c r="A527" t="s">
        <v>1035</v>
      </c>
      <c r="B527" s="1" t="s">
        <v>1096</v>
      </c>
      <c r="C527" t="str">
        <f>HEX2BIN("F",8)</f>
        <v>00001111</v>
      </c>
      <c r="E527" s="1" t="s">
        <v>1097</v>
      </c>
    </row>
    <row r="528" spans="1:5" x14ac:dyDescent="0.25">
      <c r="A528" t="s">
        <v>1035</v>
      </c>
      <c r="B528" s="1" t="s">
        <v>1098</v>
      </c>
      <c r="C528">
        <f>HEX2DEC("FFFFFFFFFF")</f>
        <v>-1</v>
      </c>
      <c r="E528" s="1" t="s">
        <v>1099</v>
      </c>
    </row>
    <row r="529" spans="1:5" x14ac:dyDescent="0.25">
      <c r="A529" t="s">
        <v>1035</v>
      </c>
      <c r="B529" s="1" t="s">
        <v>1100</v>
      </c>
      <c r="C529" t="str">
        <f>HEX2OCT("3B")</f>
        <v>73</v>
      </c>
      <c r="E529" s="1" t="s">
        <v>1101</v>
      </c>
    </row>
    <row r="530" spans="1:5" x14ac:dyDescent="0.25">
      <c r="A530" t="s">
        <v>1035</v>
      </c>
      <c r="B530" s="1" t="s">
        <v>1102</v>
      </c>
      <c r="C530" t="str">
        <f>OCT2BIN("3")</f>
        <v>11</v>
      </c>
      <c r="E530" s="1" t="s">
        <v>1103</v>
      </c>
    </row>
    <row r="531" spans="1:5" x14ac:dyDescent="0.25">
      <c r="A531" t="s">
        <v>1035</v>
      </c>
      <c r="B531" s="1" t="s">
        <v>1104</v>
      </c>
      <c r="C531">
        <f>OCT2DEC("7777777533")</f>
        <v>-165</v>
      </c>
      <c r="E531" s="1" t="s">
        <v>1105</v>
      </c>
    </row>
    <row r="532" spans="1:5" x14ac:dyDescent="0.25">
      <c r="A532" t="s">
        <v>1035</v>
      </c>
      <c r="B532" s="1" t="s">
        <v>1106</v>
      </c>
      <c r="C532" t="str">
        <f>OCT2HEX("100")</f>
        <v>40</v>
      </c>
      <c r="E532" s="1" t="s">
        <v>1107</v>
      </c>
    </row>
    <row r="533" spans="1:5" x14ac:dyDescent="0.25">
      <c r="A533" t="s">
        <v>1035</v>
      </c>
      <c r="B533" s="1" t="s">
        <v>1108</v>
      </c>
      <c r="C533" t="e">
        <f>DEC2BIN(600)</f>
        <v>#NUM!</v>
      </c>
      <c r="E533" s="1" t="s">
        <v>1109</v>
      </c>
    </row>
    <row r="534" spans="1:5" x14ac:dyDescent="0.25">
      <c r="A534" t="s">
        <v>1035</v>
      </c>
      <c r="B534" s="1" t="s">
        <v>1110</v>
      </c>
      <c r="C534">
        <f>_xlfn.BITAND(13,25)</f>
        <v>9</v>
      </c>
      <c r="E534" s="1" t="s">
        <v>1111</v>
      </c>
    </row>
    <row r="535" spans="1:5" x14ac:dyDescent="0.25">
      <c r="A535" t="s">
        <v>1035</v>
      </c>
      <c r="B535" s="1" t="s">
        <v>1112</v>
      </c>
      <c r="C535">
        <f>_xlfn.BITOR(13,25)</f>
        <v>29</v>
      </c>
      <c r="E535" s="1" t="s">
        <v>1113</v>
      </c>
    </row>
    <row r="536" spans="1:5" x14ac:dyDescent="0.25">
      <c r="A536" t="s">
        <v>1035</v>
      </c>
      <c r="B536" s="1" t="s">
        <v>1114</v>
      </c>
      <c r="C536">
        <f>_xlfn.BITXOR(13,25)</f>
        <v>20</v>
      </c>
      <c r="E536" s="1" t="s">
        <v>1115</v>
      </c>
    </row>
    <row r="537" spans="1:5" x14ac:dyDescent="0.25">
      <c r="A537" t="s">
        <v>1035</v>
      </c>
      <c r="B537" s="1" t="s">
        <v>1116</v>
      </c>
      <c r="C537">
        <f>_xlfn.BITLSHIFT(4,2)</f>
        <v>16</v>
      </c>
      <c r="E537" s="1" t="s">
        <v>1117</v>
      </c>
    </row>
    <row r="538" spans="1:5" x14ac:dyDescent="0.25">
      <c r="A538" t="s">
        <v>1035</v>
      </c>
      <c r="B538" s="1" t="s">
        <v>1118</v>
      </c>
      <c r="C538">
        <f>_xlfn.BITRSHIFT(13,2)</f>
        <v>3</v>
      </c>
      <c r="E538" s="1" t="s">
        <v>1119</v>
      </c>
    </row>
    <row r="539" spans="1:5" x14ac:dyDescent="0.25">
      <c r="A539" t="s">
        <v>1035</v>
      </c>
      <c r="B539" s="1" t="s">
        <v>1120</v>
      </c>
      <c r="C539">
        <f>DELTA(5,5)</f>
        <v>1</v>
      </c>
      <c r="E539" s="1" t="s">
        <v>1121</v>
      </c>
    </row>
    <row r="540" spans="1:5" x14ac:dyDescent="0.25">
      <c r="A540" t="s">
        <v>1035</v>
      </c>
      <c r="B540" s="1" t="s">
        <v>1122</v>
      </c>
      <c r="C540">
        <f>DELTA(5)</f>
        <v>0</v>
      </c>
      <c r="E540" s="1" t="s">
        <v>1123</v>
      </c>
    </row>
    <row r="541" spans="1:5" x14ac:dyDescent="0.25">
      <c r="A541" t="s">
        <v>1035</v>
      </c>
      <c r="B541" s="1" t="s">
        <v>1124</v>
      </c>
      <c r="C541">
        <f>GESTEP(5,4)</f>
        <v>1</v>
      </c>
      <c r="E541" s="1" t="s">
        <v>1125</v>
      </c>
    </row>
    <row r="542" spans="1:5" x14ac:dyDescent="0.25">
      <c r="A542" t="s">
        <v>1035</v>
      </c>
      <c r="B542" s="1" t="s">
        <v>1126</v>
      </c>
      <c r="C542">
        <f>GESTEP(-1)</f>
        <v>0</v>
      </c>
      <c r="E542" s="1" t="s">
        <v>1127</v>
      </c>
    </row>
    <row r="543" spans="1:5" x14ac:dyDescent="0.25">
      <c r="A543" t="s">
        <v>1035</v>
      </c>
      <c r="B543" s="1" t="s">
        <v>1128</v>
      </c>
      <c r="C543">
        <f>ERF(0.5)</f>
        <v>0.52049987781304652</v>
      </c>
      <c r="E543" s="1" t="s">
        <v>1129</v>
      </c>
    </row>
    <row r="544" spans="1:5" x14ac:dyDescent="0.25">
      <c r="A544" t="s">
        <v>1035</v>
      </c>
      <c r="B544" s="1" t="s">
        <v>1130</v>
      </c>
      <c r="C544">
        <f>ERF(0,1.5)</f>
        <v>0.96610514647531076</v>
      </c>
      <c r="E544" s="1" t="s">
        <v>1131</v>
      </c>
    </row>
    <row r="545" spans="1:5" x14ac:dyDescent="0.25">
      <c r="A545" t="s">
        <v>1035</v>
      </c>
      <c r="B545" s="1" t="s">
        <v>1132</v>
      </c>
      <c r="C545">
        <f>_xlfn.ERF.PRECISE(-1)</f>
        <v>-0.84270079294971489</v>
      </c>
      <c r="E545" s="1" t="s">
        <v>1133</v>
      </c>
    </row>
    <row r="546" spans="1:5" x14ac:dyDescent="0.25">
      <c r="A546" t="s">
        <v>1035</v>
      </c>
      <c r="B546" s="1" t="s">
        <v>1134</v>
      </c>
      <c r="C546">
        <f>ERFC(1)</f>
        <v>0.15729920705028513</v>
      </c>
      <c r="E546" s="1" t="s">
        <v>1135</v>
      </c>
    </row>
    <row r="547" spans="1:5" x14ac:dyDescent="0.25">
      <c r="A547" t="s">
        <v>1035</v>
      </c>
      <c r="B547" s="1" t="s">
        <v>1136</v>
      </c>
      <c r="C547">
        <f>_xlfn.ERFC.PRECISE(0.2)</f>
        <v>0.77729741078952153</v>
      </c>
      <c r="E547" s="1" t="s">
        <v>1137</v>
      </c>
    </row>
    <row r="548" spans="1:5" x14ac:dyDescent="0.25">
      <c r="A548" t="s">
        <v>1035</v>
      </c>
      <c r="B548" s="1" t="s">
        <v>1138</v>
      </c>
      <c r="C548">
        <f>ERF(3)</f>
        <v>0.99997790950300136</v>
      </c>
      <c r="E548" s="1" t="s">
        <v>1139</v>
      </c>
    </row>
    <row r="549" spans="1:5" x14ac:dyDescent="0.25">
      <c r="A549" t="s">
        <v>1035</v>
      </c>
      <c r="B549" s="1" t="s">
        <v>1140</v>
      </c>
      <c r="C549">
        <f>ERFC(4)</f>
        <v>1.5417257900280017E-8</v>
      </c>
      <c r="E549" s="1" t="s">
        <v>1141</v>
      </c>
    </row>
    <row r="550" spans="1:5" x14ac:dyDescent="0.25">
      <c r="A550" t="s">
        <v>1035</v>
      </c>
      <c r="B550" s="1" t="s">
        <v>1142</v>
      </c>
      <c r="C550">
        <f>DSUM(Данные!A1:H11,"Сумма",Данные!J1:K2)</f>
        <v>1200</v>
      </c>
      <c r="E550" s="1" t="s">
        <v>1143</v>
      </c>
    </row>
    <row r="551" spans="1:5" x14ac:dyDescent="0.25">
      <c r="A551" t="s">
        <v>1035</v>
      </c>
      <c r="B551" s="1" t="s">
        <v>1144</v>
      </c>
      <c r="C551">
        <f>DSUM(Данные!A1:H11,3,Данные!L1:L3)</f>
        <v>4485.75</v>
      </c>
      <c r="E551" s="1" t="s">
        <v>1145</v>
      </c>
    </row>
    <row r="552" spans="1:5" x14ac:dyDescent="0.25">
      <c r="A552" t="s">
        <v>1035</v>
      </c>
      <c r="B552" s="1" t="s">
        <v>1146</v>
      </c>
      <c r="C552">
        <f>DAVERAGE(Данные!A1:H11,"Кол",Данные!L1:L3)</f>
        <v>4.5</v>
      </c>
      <c r="E552" s="1" t="s">
        <v>1147</v>
      </c>
    </row>
    <row r="553" spans="1:5" x14ac:dyDescent="0.25">
      <c r="A553" t="s">
        <v>1035</v>
      </c>
      <c r="B553" s="1" t="s">
        <v>1148</v>
      </c>
      <c r="C553">
        <f>DCOUNT(Данные!A1:H11,"Сумма",Данные!J1:J2)</f>
        <v>4</v>
      </c>
      <c r="E553" s="1" t="s">
        <v>1149</v>
      </c>
    </row>
    <row r="554" spans="1:5" x14ac:dyDescent="0.25">
      <c r="A554" t="s">
        <v>1035</v>
      </c>
      <c r="B554" s="1" t="s">
        <v>1150</v>
      </c>
      <c r="C554">
        <f>DCOUNTA(Данные!A1:H11,"Имя",Данные!L1:L2)</f>
        <v>4</v>
      </c>
      <c r="E554" s="1" t="s">
        <v>1151</v>
      </c>
    </row>
    <row r="555" spans="1:5" x14ac:dyDescent="0.25">
      <c r="A555" t="s">
        <v>1035</v>
      </c>
      <c r="B555" s="1" t="s">
        <v>1152</v>
      </c>
      <c r="C555">
        <f>DMAX(Данные!A1:H11,"Сумма",Данные!L1:L3)</f>
        <v>1500</v>
      </c>
      <c r="E555" s="1" t="s">
        <v>1153</v>
      </c>
    </row>
    <row r="556" spans="1:5" x14ac:dyDescent="0.25">
      <c r="A556" t="s">
        <v>1035</v>
      </c>
      <c r="B556" s="1" t="s">
        <v>1154</v>
      </c>
      <c r="C556">
        <f>DMIN(Данные!A1:H11,"Сумма",Данные!J1:J2)</f>
        <v>-200</v>
      </c>
      <c r="E556" s="1" t="s">
        <v>1155</v>
      </c>
    </row>
    <row r="557" spans="1:5" x14ac:dyDescent="0.25">
      <c r="A557" t="s">
        <v>1035</v>
      </c>
      <c r="B557" s="1" t="s">
        <v>1156</v>
      </c>
      <c r="C557">
        <f>DPRODUCT(Данные!A1:H11,"Кол",Данные!J1:K2)</f>
        <v>2</v>
      </c>
      <c r="E557" s="1" t="s">
        <v>1157</v>
      </c>
    </row>
    <row r="558" spans="1:5" x14ac:dyDescent="0.25">
      <c r="A558" t="s">
        <v>1035</v>
      </c>
      <c r="B558" s="1" t="s">
        <v>1158</v>
      </c>
      <c r="C558" t="str">
        <f>DGET(Данные!A1:H11,"Имя",Данные!J1:K2)</f>
        <v>Ольга</v>
      </c>
      <c r="E558" s="1" t="s">
        <v>1159</v>
      </c>
    </row>
    <row r="559" spans="1:5" x14ac:dyDescent="0.25">
      <c r="A559" t="s">
        <v>1035</v>
      </c>
      <c r="B559" s="1" t="s">
        <v>1160</v>
      </c>
      <c r="C559">
        <f>DSTDEV(Данные!A1:H11,"Сумма",Данные!L1:L3)</f>
        <v>633.14618935772978</v>
      </c>
      <c r="E559" s="1" t="s">
        <v>1161</v>
      </c>
    </row>
    <row r="560" spans="1:5" x14ac:dyDescent="0.25">
      <c r="A560" t="s">
        <v>1035</v>
      </c>
      <c r="B560" s="1" t="s">
        <v>1162</v>
      </c>
      <c r="C560">
        <f>DSTDEVP(Данные!A1:H11,"Сумма",Данные!L1:L3)</f>
        <v>592.2540290795306</v>
      </c>
      <c r="E560" s="1" t="s">
        <v>1163</v>
      </c>
    </row>
    <row r="561" spans="1:5" x14ac:dyDescent="0.25">
      <c r="A561" t="s">
        <v>1035</v>
      </c>
      <c r="B561" s="1" t="s">
        <v>1164</v>
      </c>
      <c r="C561">
        <f>DVAR(Данные!A1:H11,"Сумма",Данные!J1:J2)</f>
        <v>384865.89583333331</v>
      </c>
      <c r="E561" s="1" t="s">
        <v>1165</v>
      </c>
    </row>
    <row r="562" spans="1:5" x14ac:dyDescent="0.25">
      <c r="A562" t="s">
        <v>1035</v>
      </c>
      <c r="B562" s="1" t="s">
        <v>1166</v>
      </c>
      <c r="C562">
        <f>DVARP(Данные!A1:H11,"Сумма",Данные!J1:J2)</f>
        <v>288649.421875</v>
      </c>
      <c r="E562" s="1" t="s">
        <v>1167</v>
      </c>
    </row>
    <row r="563" spans="1:5" x14ac:dyDescent="0.25">
      <c r="A563" t="s">
        <v>1035</v>
      </c>
      <c r="B563" s="1" t="s">
        <v>1168</v>
      </c>
      <c r="C563">
        <f>COVAR(Данные!C2:C11,Данные!E2:E11)</f>
        <v>-1659.1925000000003</v>
      </c>
      <c r="E563" s="1" t="s">
        <v>1169</v>
      </c>
    </row>
    <row r="564" spans="1:5" x14ac:dyDescent="0.25">
      <c r="A564" t="s">
        <v>1035</v>
      </c>
      <c r="B564" s="1" t="s">
        <v>1170</v>
      </c>
      <c r="C564">
        <f>_xlfn.COVARIANCE.S(Данные!C2:C11,Данные!E2:E11)</f>
        <v>-1843.5472222222224</v>
      </c>
      <c r="E564" s="1" t="s">
        <v>1171</v>
      </c>
    </row>
    <row r="565" spans="1:5" x14ac:dyDescent="0.25">
      <c r="A565" t="s">
        <v>1035</v>
      </c>
      <c r="B565" s="1" t="s">
        <v>1172</v>
      </c>
      <c r="C565">
        <f>PEARSON(Данные!C2:C11,Данные!E2:E11)</f>
        <v>-0.50890990310890893</v>
      </c>
      <c r="E565" s="1" t="s">
        <v>1173</v>
      </c>
    </row>
    <row r="566" spans="1:5" x14ac:dyDescent="0.25">
      <c r="A566" t="s">
        <v>1035</v>
      </c>
      <c r="B566" s="1" t="s">
        <v>1174</v>
      </c>
      <c r="C566">
        <f>RSQ(Данные!C2:C11,Данные!E2:E11)</f>
        <v>0.25898928948231908</v>
      </c>
      <c r="E566" s="1" t="s">
        <v>1175</v>
      </c>
    </row>
    <row r="567" spans="1:5" x14ac:dyDescent="0.25">
      <c r="A567" t="s">
        <v>1035</v>
      </c>
      <c r="B567" s="1" t="s">
        <v>1176</v>
      </c>
      <c r="C567">
        <f>STEYX(Данные!C2:C11,Данные!E2:E11)</f>
        <v>1315.4277208391943</v>
      </c>
      <c r="E567" s="1" t="s">
        <v>1177</v>
      </c>
    </row>
    <row r="568" spans="1:5" x14ac:dyDescent="0.25">
      <c r="A568" t="s">
        <v>1035</v>
      </c>
      <c r="B568" s="1" t="s">
        <v>1178</v>
      </c>
      <c r="C568">
        <f>KURT(Данные!C2:C11)</f>
        <v>0.98954737234257273</v>
      </c>
      <c r="E568" s="1" t="s">
        <v>1179</v>
      </c>
    </row>
    <row r="569" spans="1:5" x14ac:dyDescent="0.25">
      <c r="A569" t="s">
        <v>1035</v>
      </c>
      <c r="B569" s="1" t="s">
        <v>1180</v>
      </c>
      <c r="C569">
        <f>SKEW(Данные!C2:C11)</f>
        <v>1.297874148832957</v>
      </c>
      <c r="E569" s="1" t="s">
        <v>1181</v>
      </c>
    </row>
    <row r="570" spans="1:5" x14ac:dyDescent="0.25">
      <c r="A570" t="s">
        <v>1035</v>
      </c>
      <c r="B570" s="1" t="s">
        <v>1182</v>
      </c>
      <c r="C570">
        <f>_xlfn.SKEW.P(Данные!C2:C11)</f>
        <v>1.094463580417202</v>
      </c>
      <c r="E570" s="1" t="s">
        <v>1183</v>
      </c>
    </row>
    <row r="571" spans="1:5" x14ac:dyDescent="0.25">
      <c r="A571" t="s">
        <v>1035</v>
      </c>
      <c r="B571" s="1" t="s">
        <v>1184</v>
      </c>
      <c r="C571">
        <f>STANDARDIZE(1500,1178,1440)</f>
        <v>0.22361111111111112</v>
      </c>
      <c r="E571" s="1" t="s">
        <v>1185</v>
      </c>
    </row>
    <row r="572" spans="1:5" x14ac:dyDescent="0.25">
      <c r="A572" t="s">
        <v>1035</v>
      </c>
      <c r="B572" s="1" t="s">
        <v>1186</v>
      </c>
      <c r="C572">
        <f>STDEVA(Данные!G2:G5)</f>
        <v>2.6457513110645907</v>
      </c>
      <c r="E572" s="1" t="s">
        <v>1187</v>
      </c>
    </row>
    <row r="573" spans="1:5" x14ac:dyDescent="0.25">
      <c r="A573" t="s">
        <v>1035</v>
      </c>
      <c r="B573" s="1" t="s">
        <v>1188</v>
      </c>
      <c r="C573">
        <f>STDEVPA(Данные!F2:F11)</f>
        <v>0.5</v>
      </c>
      <c r="E573" s="1" t="s">
        <v>1189</v>
      </c>
    </row>
    <row r="574" spans="1:5" x14ac:dyDescent="0.25">
      <c r="A574" t="s">
        <v>1035</v>
      </c>
      <c r="B574" s="1" t="s">
        <v>1190</v>
      </c>
      <c r="C574">
        <f>VARA(Данные!F2:F11)</f>
        <v>0.27777777777777779</v>
      </c>
      <c r="E574" s="1" t="s">
        <v>1191</v>
      </c>
    </row>
    <row r="575" spans="1:5" x14ac:dyDescent="0.25">
      <c r="A575" t="s">
        <v>1035</v>
      </c>
      <c r="B575" s="1" t="s">
        <v>1192</v>
      </c>
      <c r="C575">
        <f>VARPA(1,TRUE,3)</f>
        <v>0.88888888888888884</v>
      </c>
      <c r="E575" s="1" t="s">
        <v>1193</v>
      </c>
    </row>
    <row r="576" spans="1:5" x14ac:dyDescent="0.25">
      <c r="A576" t="s">
        <v>1035</v>
      </c>
      <c r="B576" s="1" t="s">
        <v>1194</v>
      </c>
      <c r="C576">
        <f>TRIMMEAN(Данные!C2:C11,0.2)</f>
        <v>973.21875</v>
      </c>
      <c r="E576" s="1" t="s">
        <v>1195</v>
      </c>
    </row>
    <row r="577" spans="1:5" x14ac:dyDescent="0.25">
      <c r="A577" t="s">
        <v>1035</v>
      </c>
      <c r="B577" s="1" t="s">
        <v>1196</v>
      </c>
      <c r="C577">
        <f>FISHER(0.5)</f>
        <v>0.54930614433405489</v>
      </c>
      <c r="E577" s="1" t="s">
        <v>1197</v>
      </c>
    </row>
    <row r="578" spans="1:5" x14ac:dyDescent="0.25">
      <c r="A578" t="s">
        <v>1035</v>
      </c>
      <c r="B578" s="1" t="s">
        <v>1198</v>
      </c>
      <c r="C578">
        <f>FISHERINV(0.5)</f>
        <v>0.46211715726000974</v>
      </c>
      <c r="E578" s="1" t="s">
        <v>1199</v>
      </c>
    </row>
    <row r="579" spans="1:5" x14ac:dyDescent="0.25">
      <c r="A579" t="s">
        <v>1035</v>
      </c>
      <c r="B579" s="1" t="s">
        <v>1200</v>
      </c>
      <c r="C579">
        <f>_xlfn.GAUSS(1)</f>
        <v>0.34134474606854304</v>
      </c>
      <c r="E579" s="1" t="s">
        <v>1201</v>
      </c>
    </row>
    <row r="580" spans="1:5" x14ac:dyDescent="0.25">
      <c r="A580" t="s">
        <v>1035</v>
      </c>
      <c r="B580" s="1" t="s">
        <v>1202</v>
      </c>
      <c r="C580">
        <f>_xlfn.PHI(0.75)</f>
        <v>0.30113743215480443</v>
      </c>
      <c r="E580" s="1" t="s">
        <v>1203</v>
      </c>
    </row>
    <row r="581" spans="1:5" x14ac:dyDescent="0.25">
      <c r="A581" t="s">
        <v>1035</v>
      </c>
      <c r="B581" s="1" t="s">
        <v>1204</v>
      </c>
      <c r="C581">
        <f>PROB({1,2,3,4},{0.1,0.2,0.3,0.4},2,3)</f>
        <v>0.5</v>
      </c>
      <c r="E581" s="1" t="s">
        <v>1205</v>
      </c>
    </row>
    <row r="582" spans="1:5" x14ac:dyDescent="0.25">
      <c r="A582" t="s">
        <v>1035</v>
      </c>
      <c r="B582" s="1" t="s">
        <v>1206</v>
      </c>
      <c r="C582">
        <f>PROB({1,2,3,4},{0.1,0.2,0.3,0.4},4)</f>
        <v>0.4</v>
      </c>
      <c r="E582" s="1" t="s">
        <v>1207</v>
      </c>
    </row>
    <row r="583" spans="1:5" x14ac:dyDescent="0.25">
      <c r="A583" t="s">
        <v>1035</v>
      </c>
      <c r="B583" s="1" t="s">
        <v>1208</v>
      </c>
      <c r="C583" cm="1">
        <f t="array" ref="C583">INDEX(_xlfn.MODE.MULT(1,2,2,3,3,4),2)</f>
        <v>3</v>
      </c>
      <c r="E583" s="1" t="s">
        <v>1209</v>
      </c>
    </row>
    <row r="584" spans="1:5" x14ac:dyDescent="0.25">
      <c r="A584" t="s">
        <v>1035</v>
      </c>
      <c r="B584" s="1" t="s">
        <v>1210</v>
      </c>
      <c r="C584">
        <f>_xlfn.PERCENTRANK.EXC(Данные!C2:C11,980)</f>
        <v>0.54500000000000004</v>
      </c>
      <c r="E584" s="1" t="s">
        <v>1211</v>
      </c>
    </row>
    <row r="585" spans="1:5" x14ac:dyDescent="0.25">
      <c r="A585" t="s">
        <v>1035</v>
      </c>
      <c r="B585" s="1" t="s">
        <v>1212</v>
      </c>
      <c r="C585">
        <f>_xlfn.CONFIDENCE.NORM(0.05,2.5,50)</f>
        <v>0.69295191217483865</v>
      </c>
      <c r="E585" s="1" t="s">
        <v>1213</v>
      </c>
    </row>
    <row r="586" spans="1:5" x14ac:dyDescent="0.25">
      <c r="A586" t="s">
        <v>1035</v>
      </c>
      <c r="B586" s="1" t="s">
        <v>1214</v>
      </c>
      <c r="C586">
        <f>CONFIDENCE(0.05,2.5,50)</f>
        <v>0.69295191217483865</v>
      </c>
      <c r="E586" s="1" t="s">
        <v>1215</v>
      </c>
    </row>
    <row r="587" spans="1:5" x14ac:dyDescent="0.25">
      <c r="A587" t="s">
        <v>1035</v>
      </c>
      <c r="B587" s="1" t="s">
        <v>1216</v>
      </c>
      <c r="C587" cm="1">
        <f t="array" ref="C587">INDEX(LINEST(Данные!C2:C11,Данные!E2:E11),1)</f>
        <v>-291.59797891036914</v>
      </c>
      <c r="E587" s="1" t="s">
        <v>1217</v>
      </c>
    </row>
    <row r="588" spans="1:5" x14ac:dyDescent="0.25">
      <c r="A588" t="s">
        <v>1035</v>
      </c>
      <c r="B588" s="1" t="s">
        <v>1218</v>
      </c>
      <c r="C588" cm="1">
        <f t="array" ref="C588">INDEX(LINEST(Данные!C2:C11,Данные!E2:E11),2)</f>
        <v>2315.8071177504398</v>
      </c>
      <c r="E588" s="1" t="s">
        <v>1219</v>
      </c>
    </row>
    <row r="589" spans="1:5" x14ac:dyDescent="0.25">
      <c r="A589" t="s">
        <v>1035</v>
      </c>
      <c r="B589" s="1" t="s">
        <v>1220</v>
      </c>
      <c r="C589">
        <f>INDEX(LINEST(Данные!C2:C11,Данные!E2:E11,TRUE,TRUE),3,1)</f>
        <v>0.2589892894823192</v>
      </c>
      <c r="E589" s="1" t="s">
        <v>1221</v>
      </c>
    </row>
    <row r="590" spans="1:5" x14ac:dyDescent="0.25">
      <c r="A590" t="s">
        <v>1035</v>
      </c>
      <c r="B590" s="1" t="s">
        <v>1222</v>
      </c>
      <c r="C590">
        <f>INDEX(LINEST(Данные!C2:C11,Данные!E2:E11,TRUE,TRUE),2,1)</f>
        <v>174.38569502207994</v>
      </c>
      <c r="E590" s="1" t="s">
        <v>1223</v>
      </c>
    </row>
    <row r="591" spans="1:5" x14ac:dyDescent="0.25">
      <c r="A591" t="s">
        <v>1035</v>
      </c>
      <c r="B591" s="1" t="s">
        <v>1224</v>
      </c>
      <c r="C591">
        <f>INDEX(LINEST(Данные!C2:C11,Данные!D2:E11),1,1)</f>
        <v>-275.30817431014538</v>
      </c>
      <c r="E591" s="1" t="s">
        <v>1225</v>
      </c>
    </row>
    <row r="592" spans="1:5" x14ac:dyDescent="0.25">
      <c r="A592" t="s">
        <v>1035</v>
      </c>
      <c r="B592" s="1" t="s">
        <v>1226</v>
      </c>
      <c r="C592">
        <f>INDEX(LINEST(Данные!C2:C11,Данные!D2:E11),1,3)</f>
        <v>-57236.965614694724</v>
      </c>
      <c r="E592" s="1" t="s">
        <v>1227</v>
      </c>
    </row>
    <row r="593" spans="1:5" x14ac:dyDescent="0.25">
      <c r="A593" t="s">
        <v>1035</v>
      </c>
      <c r="B593" s="1" t="s">
        <v>1228</v>
      </c>
      <c r="C593" cm="1">
        <f t="array" ref="C593">INDEX(LINEST({1,3,5,7}),1)</f>
        <v>2</v>
      </c>
      <c r="E593" s="1" t="s">
        <v>1229</v>
      </c>
    </row>
    <row r="594" spans="1:5" x14ac:dyDescent="0.25">
      <c r="A594" t="s">
        <v>1035</v>
      </c>
      <c r="B594" s="1" t="s">
        <v>1230</v>
      </c>
      <c r="C594" cm="1">
        <f t="array" ref="C594">INDEX(LINEST(Данные!C2:C11,Данные!E2:E11,FALSE),1)</f>
        <v>140.53827751196172</v>
      </c>
      <c r="E594" s="1" t="s">
        <v>1231</v>
      </c>
    </row>
    <row r="595" spans="1:5" x14ac:dyDescent="0.25">
      <c r="A595" t="s">
        <v>1035</v>
      </c>
      <c r="B595" s="1" t="s">
        <v>1232</v>
      </c>
      <c r="C595">
        <f>INDEX(LINEST(Данные!C2:C11,Данные!E2:E11,TRUE,TRUE),4,1)</f>
        <v>2.7960652746990449</v>
      </c>
      <c r="E595" s="1" t="s">
        <v>1233</v>
      </c>
    </row>
    <row r="596" spans="1:5" x14ac:dyDescent="0.25">
      <c r="A596" t="s">
        <v>1035</v>
      </c>
      <c r="B596" s="1" t="s">
        <v>1234</v>
      </c>
      <c r="C596" cm="1">
        <f t="array" ref="C596">INDEX(LOGEST({2,4,8,16}),1)</f>
        <v>2</v>
      </c>
      <c r="E596" s="1" t="s">
        <v>1235</v>
      </c>
    </row>
    <row r="597" spans="1:5" x14ac:dyDescent="0.25">
      <c r="A597" t="s">
        <v>1035</v>
      </c>
      <c r="B597" s="1" t="s">
        <v>1236</v>
      </c>
      <c r="C597" cm="1">
        <f t="array" ref="C597">INDEX(LOGEST(Данные!E2:E11,Данные!D2:D11),2)</f>
        <v>36887020.834242605</v>
      </c>
      <c r="E597" s="1" t="s">
        <v>1237</v>
      </c>
    </row>
    <row r="598" spans="1:5" x14ac:dyDescent="0.25">
      <c r="A598" t="s">
        <v>1035</v>
      </c>
      <c r="B598" s="1" t="s">
        <v>1238</v>
      </c>
      <c r="C598" cm="1">
        <f t="array" ref="C598">INDEX(GROWTH({2,4,8,16},{1,2,3,4},{5}),1)</f>
        <v>31.999999999999993</v>
      </c>
      <c r="E598" s="1" t="s">
        <v>1239</v>
      </c>
    </row>
    <row r="599" spans="1:5" x14ac:dyDescent="0.25">
      <c r="A599" t="s">
        <v>1035</v>
      </c>
      <c r="B599" s="1" t="s">
        <v>1240</v>
      </c>
      <c r="C599" cm="1">
        <f t="array" ref="C599">INDEX(GROWTH(Данные!E2:E6),3)</f>
        <v>2.913693458576192</v>
      </c>
      <c r="E599" s="1" t="s">
        <v>1241</v>
      </c>
    </row>
    <row r="600" spans="1:5" x14ac:dyDescent="0.25">
      <c r="A600" t="s">
        <v>1035</v>
      </c>
      <c r="B600" s="1" t="s">
        <v>1242</v>
      </c>
      <c r="C600" t="str">
        <f>LEFTB("Привет",3)</f>
        <v>При</v>
      </c>
      <c r="E600" s="1" t="s">
        <v>1243</v>
      </c>
    </row>
    <row r="601" spans="1:5" x14ac:dyDescent="0.25">
      <c r="A601" t="s">
        <v>1035</v>
      </c>
      <c r="B601" s="1" t="s">
        <v>1244</v>
      </c>
      <c r="C601">
        <f>LENB("Привет")</f>
        <v>6</v>
      </c>
      <c r="E601" s="1" t="s">
        <v>1245</v>
      </c>
    </row>
    <row r="602" spans="1:5" x14ac:dyDescent="0.25">
      <c r="A602" t="s">
        <v>1035</v>
      </c>
      <c r="B602" s="1" t="s">
        <v>1246</v>
      </c>
      <c r="C602" t="str">
        <f>MIDB("абвгд",2,2)</f>
        <v>бв</v>
      </c>
      <c r="E602" s="1" t="s">
        <v>1247</v>
      </c>
    </row>
    <row r="603" spans="1:5" x14ac:dyDescent="0.25">
      <c r="A603" t="s">
        <v>1035</v>
      </c>
      <c r="B603" s="1" t="s">
        <v>1248</v>
      </c>
      <c r="C603">
        <f>FINDB("г","абвгд")</f>
        <v>4</v>
      </c>
      <c r="E603" s="1" t="s">
        <v>1249</v>
      </c>
    </row>
    <row r="604" spans="1:5" x14ac:dyDescent="0.25">
      <c r="A604" t="s">
        <v>1035</v>
      </c>
      <c r="B604" s="1" t="s">
        <v>1250</v>
      </c>
      <c r="C604" t="str">
        <f>ASC("ＡＢＣ")</f>
        <v>ＡＢＣ</v>
      </c>
      <c r="E604" s="1" t="s">
        <v>1251</v>
      </c>
    </row>
    <row r="605" spans="1:5" x14ac:dyDescent="0.25">
      <c r="A605" t="s">
        <v>1035</v>
      </c>
      <c r="B605" s="1" t="s">
        <v>1252</v>
      </c>
      <c r="C605" t="str">
        <f>DBCS("ABC")</f>
        <v>ABC</v>
      </c>
      <c r="E605" s="1" t="s">
        <v>1253</v>
      </c>
    </row>
    <row r="606" spans="1:5" x14ac:dyDescent="0.25">
      <c r="A606" t="s">
        <v>1035</v>
      </c>
      <c r="B606" s="1" t="s">
        <v>1254</v>
      </c>
      <c r="C606" t="str">
        <f>USDOLLAR(1234.567)</f>
        <v>1 234,57 ₽</v>
      </c>
      <c r="E606" s="1" t="s">
        <v>1255</v>
      </c>
    </row>
    <row r="607" spans="1:5" x14ac:dyDescent="0.25">
      <c r="A607" t="s">
        <v>1035</v>
      </c>
      <c r="B607" s="1" t="s">
        <v>1256</v>
      </c>
      <c r="C607" t="str">
        <f>USDOLLAR(-1234.567,1)</f>
        <v>-1 234,6 ₽</v>
      </c>
      <c r="E607" s="1" t="s">
        <v>1257</v>
      </c>
    </row>
    <row r="608" spans="1:5" x14ac:dyDescent="0.25">
      <c r="A608" t="s">
        <v>1035</v>
      </c>
      <c r="B608" s="1" t="s">
        <v>1258</v>
      </c>
      <c r="C608" t="str">
        <f>_xlfn.VALUETOTEXT("текст",1)</f>
        <v>"текст"</v>
      </c>
      <c r="E608" s="1" t="s">
        <v>1259</v>
      </c>
    </row>
    <row r="609" spans="1:5" x14ac:dyDescent="0.25">
      <c r="A609" t="s">
        <v>1035</v>
      </c>
      <c r="B609" s="1" t="s">
        <v>1260</v>
      </c>
      <c r="C609" t="str">
        <f>_xlfn.VALUETOTEXT(1.5)</f>
        <v>1,5</v>
      </c>
      <c r="E609" s="1" t="s">
        <v>1261</v>
      </c>
    </row>
    <row r="610" spans="1:5" x14ac:dyDescent="0.25">
      <c r="A610" t="s">
        <v>1035</v>
      </c>
      <c r="B610" s="1" t="s">
        <v>1262</v>
      </c>
      <c r="C610" t="str">
        <f>_xlfn.VALUETOTEXT(TRUE)</f>
        <v>ИСТИНА</v>
      </c>
      <c r="E610" s="1" t="s">
        <v>1263</v>
      </c>
    </row>
    <row r="611" spans="1:5" x14ac:dyDescent="0.25">
      <c r="A611" t="s">
        <v>1035</v>
      </c>
      <c r="B611" s="1" t="s">
        <v>1264</v>
      </c>
      <c r="C611" t="str">
        <f>_xlfn.ARRAYTOTEXT({1,2;"a",TRUE})</f>
        <v>1; 2; a; ИСТИНА</v>
      </c>
      <c r="E611" s="1" t="s">
        <v>1265</v>
      </c>
    </row>
    <row r="612" spans="1:5" x14ac:dyDescent="0.25">
      <c r="A612" t="s">
        <v>1035</v>
      </c>
      <c r="B612" s="1" t="s">
        <v>1266</v>
      </c>
      <c r="C612" t="str">
        <f>_xlfn.ARRAYTOTEXT({1,2;"a",TRUE},1)</f>
        <v>{1;2:"a";ИСТИНА}</v>
      </c>
      <c r="E612" s="1" t="s">
        <v>1267</v>
      </c>
    </row>
    <row r="613" spans="1:5" x14ac:dyDescent="0.25">
      <c r="A613" t="s">
        <v>1035</v>
      </c>
      <c r="B613" s="1" t="s">
        <v>1268</v>
      </c>
      <c r="C613" t="str">
        <f>BAHTTEXT(1234)</f>
        <v>หนึ่งพันสองร้อยสามสิบสี่บาทถ้วน</v>
      </c>
      <c r="E613" s="1" t="s">
        <v>1269</v>
      </c>
    </row>
    <row r="614" spans="1:5" x14ac:dyDescent="0.25">
      <c r="A614" t="s">
        <v>1035</v>
      </c>
      <c r="B614" s="1" t="s">
        <v>1270</v>
      </c>
      <c r="C614" t="str">
        <f>BAHTTEXT(21.25)</f>
        <v>ยี่สิบเอ็ดบาทยี่สิบห้าสตางค์</v>
      </c>
      <c r="E614" s="1" t="s">
        <v>1271</v>
      </c>
    </row>
    <row r="615" spans="1:5" x14ac:dyDescent="0.25">
      <c r="A615" t="s">
        <v>1035</v>
      </c>
      <c r="B615" s="1" t="s">
        <v>1272</v>
      </c>
      <c r="C615" t="str">
        <f>BAHTTEXT(1000000)</f>
        <v>หนึ่งล้านบาทถ้วน</v>
      </c>
      <c r="E615" s="1" t="s">
        <v>1273</v>
      </c>
    </row>
    <row r="616" spans="1:5" x14ac:dyDescent="0.25">
      <c r="A616" t="s">
        <v>1035</v>
      </c>
      <c r="B616" s="1" t="s">
        <v>1274</v>
      </c>
      <c r="C616" t="str">
        <f>BAHTTEXT(11)</f>
        <v>สิบเอ็ดบาทถ้วน</v>
      </c>
      <c r="E616" s="1" t="s">
        <v>1275</v>
      </c>
    </row>
    <row r="617" spans="1:5" x14ac:dyDescent="0.25">
      <c r="A617" t="s">
        <v>1035</v>
      </c>
      <c r="B617" s="1" t="s">
        <v>1276</v>
      </c>
      <c r="C617" t="str">
        <f>_xlfn.ENCODEURL("http://сайт.рф/путь? a=1&amp;b=(2)")</f>
        <v>http%3A%2F%2F%D1%81%D0%B0%D0%B9%D1%82.%D1%80%D1%84%2F%D0%BF%D1%83%D1%82%D1%8C%3F%20a%3D1%26b%3D%282%29</v>
      </c>
      <c r="E617" s="1" t="s">
        <v>1277</v>
      </c>
    </row>
    <row r="618" spans="1:5" x14ac:dyDescent="0.25">
      <c r="A618" t="s">
        <v>1035</v>
      </c>
      <c r="B618" s="1" t="s">
        <v>1278</v>
      </c>
      <c r="C618" cm="1">
        <f t="array" ref="C618">_xlfn.FILTERXML("&lt;a&gt;&lt;b&gt;1&lt;/b&gt;&lt;b&gt;2&lt;/b&gt;&lt;/a&gt;","//b[2]")</f>
        <v>2</v>
      </c>
      <c r="E618" s="1" t="s">
        <v>1279</v>
      </c>
    </row>
    <row r="619" spans="1:5" x14ac:dyDescent="0.25">
      <c r="A619" t="s">
        <v>1035</v>
      </c>
      <c r="B619" s="1" t="s">
        <v>1280</v>
      </c>
      <c r="C619" cm="1">
        <f t="array" ref="C619">_xlfn.FILTERXML("&lt;a&gt;&lt;b x='7'&gt;1&lt;/b&gt;&lt;/a&gt;","//b/@x")</f>
        <v>7</v>
      </c>
      <c r="E619" s="1" t="s">
        <v>1281</v>
      </c>
    </row>
    <row r="620" spans="1:5" x14ac:dyDescent="0.25">
      <c r="A620" t="s">
        <v>1035</v>
      </c>
      <c r="B620" s="1" t="s">
        <v>1282</v>
      </c>
      <c r="C620" t="str">
        <f ca="1">INFO("system")</f>
        <v>pcdos</v>
      </c>
      <c r="E620" s="1" t="s">
        <v>1283</v>
      </c>
    </row>
    <row r="621" spans="1:5" x14ac:dyDescent="0.25">
      <c r="A621" t="s">
        <v>1035</v>
      </c>
      <c r="B621" s="1" t="s">
        <v>1284</v>
      </c>
      <c r="C621">
        <f>AREAS(Данные!A1:C3)</f>
        <v>1</v>
      </c>
      <c r="E621" s="1" t="s">
        <v>1285</v>
      </c>
    </row>
    <row r="622" spans="1:5" x14ac:dyDescent="0.25">
      <c r="A622" t="s">
        <v>1035</v>
      </c>
      <c r="B622" s="1" t="s">
        <v>1286</v>
      </c>
      <c r="C622" t="b">
        <f>ISERROR(GETPIVOTDATA("Сумма",Данные!A1))</f>
        <v>1</v>
      </c>
      <c r="E622" s="1" t="s">
        <v>1287</v>
      </c>
    </row>
    <row r="623" spans="1:5" x14ac:dyDescent="0.25">
      <c r="A623" t="s">
        <v>1035</v>
      </c>
      <c r="B623" s="1" t="s">
        <v>1288</v>
      </c>
      <c r="C623">
        <f>ERROR.TYPE(CUBEVALUE("x"))</f>
        <v>7</v>
      </c>
      <c r="E623" s="1" t="s">
        <v>1289</v>
      </c>
    </row>
    <row r="624" spans="1:5" x14ac:dyDescent="0.25">
      <c r="A624" t="s">
        <v>1035</v>
      </c>
      <c r="B624" s="1" t="s">
        <v>1290</v>
      </c>
      <c r="C624">
        <f>ERROR.TYPE(RTD("x",,"y"))</f>
        <v>7</v>
      </c>
      <c r="E624" s="1" t="s">
        <v>1291</v>
      </c>
    </row>
    <row r="625" spans="1:5" x14ac:dyDescent="0.25">
      <c r="A625" t="s">
        <v>1292</v>
      </c>
      <c r="B625" s="1" t="s">
        <v>1293</v>
      </c>
      <c r="C625">
        <f>_xlfn.BETA.DIST(0.4,2,3,TRUE)</f>
        <v>0.52480000000000004</v>
      </c>
      <c r="E625" s="1" t="s">
        <v>1294</v>
      </c>
    </row>
    <row r="626" spans="1:5" x14ac:dyDescent="0.25">
      <c r="A626" t="s">
        <v>1292</v>
      </c>
      <c r="B626" s="1" t="s">
        <v>1295</v>
      </c>
      <c r="C626">
        <f>_xlfn.BETA.DIST(0.4,2,3,FALSE)</f>
        <v>1.728</v>
      </c>
      <c r="E626" s="1" t="s">
        <v>1296</v>
      </c>
    </row>
    <row r="627" spans="1:5" x14ac:dyDescent="0.25">
      <c r="A627" t="s">
        <v>1292</v>
      </c>
      <c r="B627" s="1" t="s">
        <v>1297</v>
      </c>
      <c r="C627">
        <f>_xlfn.BETA.DIST(2,8,10,TRUE,1,3)</f>
        <v>0.68547058105468728</v>
      </c>
      <c r="E627" s="1" t="s">
        <v>1298</v>
      </c>
    </row>
    <row r="628" spans="1:5" x14ac:dyDescent="0.25">
      <c r="A628" t="s">
        <v>1292</v>
      </c>
      <c r="B628" s="1" t="s">
        <v>1299</v>
      </c>
      <c r="C628">
        <f>BETADIST(2,8,10,1,3)</f>
        <v>0.68547058105468728</v>
      </c>
      <c r="E628" s="1" t="s">
        <v>1300</v>
      </c>
    </row>
    <row r="629" spans="1:5" x14ac:dyDescent="0.25">
      <c r="A629" t="s">
        <v>1292</v>
      </c>
      <c r="B629" s="1" t="s">
        <v>1301</v>
      </c>
      <c r="C629">
        <f>_xlfn.BETA.INV(0.685470581,8,10,1,3)</f>
        <v>1.9999999999631426</v>
      </c>
      <c r="E629" s="1" t="s">
        <v>1302</v>
      </c>
    </row>
    <row r="630" spans="1:5" x14ac:dyDescent="0.25">
      <c r="A630" t="s">
        <v>1292</v>
      </c>
      <c r="B630" s="1" t="s">
        <v>1303</v>
      </c>
      <c r="C630">
        <f>BETAINV(0.2,4,5)</f>
        <v>0.30322584466408187</v>
      </c>
      <c r="E630" s="1" t="s">
        <v>1304</v>
      </c>
    </row>
    <row r="631" spans="1:5" x14ac:dyDescent="0.25">
      <c r="A631" t="s">
        <v>1292</v>
      </c>
      <c r="B631" s="1" t="s">
        <v>1305</v>
      </c>
      <c r="C631">
        <f>_xlfn.BINOM.DIST(6,10,0.5,FALSE)</f>
        <v>0.20507812500000006</v>
      </c>
      <c r="E631" s="1" t="s">
        <v>1306</v>
      </c>
    </row>
    <row r="632" spans="1:5" x14ac:dyDescent="0.25">
      <c r="A632" t="s">
        <v>1292</v>
      </c>
      <c r="B632" s="1" t="s">
        <v>1307</v>
      </c>
      <c r="C632">
        <f>_xlfn.BINOM.DIST(6,10,0.5,TRUE)</f>
        <v>0.828125</v>
      </c>
      <c r="E632" s="1" t="s">
        <v>1308</v>
      </c>
    </row>
    <row r="633" spans="1:5" x14ac:dyDescent="0.25">
      <c r="A633" t="s">
        <v>1292</v>
      </c>
      <c r="B633" s="1" t="s">
        <v>1309</v>
      </c>
      <c r="C633">
        <f>BINOMDIST(3,8,0.25,TRUE)</f>
        <v>0.8861846923828125</v>
      </c>
      <c r="E633" s="1" t="s">
        <v>1310</v>
      </c>
    </row>
    <row r="634" spans="1:5" x14ac:dyDescent="0.25">
      <c r="A634" t="s">
        <v>1292</v>
      </c>
      <c r="B634" s="1" t="s">
        <v>1311</v>
      </c>
      <c r="C634">
        <f>_xlfn.BINOM.DIST.RANGE(60,0.75,48)</f>
        <v>8.3974967429047503E-2</v>
      </c>
      <c r="E634" s="1" t="s">
        <v>1312</v>
      </c>
    </row>
    <row r="635" spans="1:5" x14ac:dyDescent="0.25">
      <c r="A635" t="s">
        <v>1292</v>
      </c>
      <c r="B635" s="1" t="s">
        <v>1313</v>
      </c>
      <c r="C635">
        <f>_xlfn.BINOM.DIST.RANGE(60,0.75,45,50)</f>
        <v>0.52362979347188721</v>
      </c>
      <c r="E635" s="1" t="s">
        <v>1314</v>
      </c>
    </row>
    <row r="636" spans="1:5" x14ac:dyDescent="0.25">
      <c r="A636" t="s">
        <v>1292</v>
      </c>
      <c r="B636" s="1" t="s">
        <v>1315</v>
      </c>
      <c r="C636">
        <f>_xlfn.BINOM.INV(6,0.5,0.75)</f>
        <v>4</v>
      </c>
      <c r="E636" s="1" t="s">
        <v>1316</v>
      </c>
    </row>
    <row r="637" spans="1:5" x14ac:dyDescent="0.25">
      <c r="A637" t="s">
        <v>1292</v>
      </c>
      <c r="B637" s="1" t="s">
        <v>1317</v>
      </c>
      <c r="C637">
        <f>CRITBINOM(10,0.3,0.5)</f>
        <v>3</v>
      </c>
      <c r="E637" s="1" t="s">
        <v>1318</v>
      </c>
    </row>
    <row r="638" spans="1:5" x14ac:dyDescent="0.25">
      <c r="A638" t="s">
        <v>1292</v>
      </c>
      <c r="B638" s="1" t="s">
        <v>1319</v>
      </c>
      <c r="C638">
        <f>_xlfn.CHISQ.DIST(0.5,1,TRUE)</f>
        <v>0.52049987781304652</v>
      </c>
      <c r="E638" s="1" t="s">
        <v>1320</v>
      </c>
    </row>
    <row r="639" spans="1:5" x14ac:dyDescent="0.25">
      <c r="A639" t="s">
        <v>1292</v>
      </c>
      <c r="B639" s="1" t="s">
        <v>1321</v>
      </c>
      <c r="C639">
        <f>_xlfn.CHISQ.DIST(2,3,FALSE)</f>
        <v>0.20755374871029736</v>
      </c>
      <c r="E639" s="1" t="s">
        <v>1322</v>
      </c>
    </row>
    <row r="640" spans="1:5" x14ac:dyDescent="0.25">
      <c r="A640" t="s">
        <v>1292</v>
      </c>
      <c r="B640" s="1" t="s">
        <v>1323</v>
      </c>
      <c r="C640">
        <f>_xlfn.CHISQ.DIST.RT(18.307,10)</f>
        <v>5.0000589091398109E-2</v>
      </c>
      <c r="E640" s="1" t="s">
        <v>1324</v>
      </c>
    </row>
    <row r="641" spans="1:5" x14ac:dyDescent="0.25">
      <c r="A641" t="s">
        <v>1292</v>
      </c>
      <c r="B641" s="1" t="s">
        <v>1325</v>
      </c>
      <c r="C641">
        <f>CHIDIST(18.307,10)</f>
        <v>5.0000589091398109E-2</v>
      </c>
      <c r="E641" s="1" t="s">
        <v>1326</v>
      </c>
    </row>
    <row r="642" spans="1:5" x14ac:dyDescent="0.25">
      <c r="A642" t="s">
        <v>1292</v>
      </c>
      <c r="B642" s="1" t="s">
        <v>1327</v>
      </c>
      <c r="C642">
        <f>_xlfn.CHISQ.INV(0.93,1)</f>
        <v>3.2830202867595295</v>
      </c>
      <c r="E642" s="1" t="s">
        <v>1328</v>
      </c>
    </row>
    <row r="643" spans="1:5" x14ac:dyDescent="0.25">
      <c r="A643" t="s">
        <v>1292</v>
      </c>
      <c r="B643" s="1" t="s">
        <v>1329</v>
      </c>
      <c r="C643">
        <f>_xlfn.CHISQ.INV(0.6,2)</f>
        <v>1.83258146374831</v>
      </c>
      <c r="E643" s="1" t="s">
        <v>1330</v>
      </c>
    </row>
    <row r="644" spans="1:5" x14ac:dyDescent="0.25">
      <c r="A644" t="s">
        <v>1292</v>
      </c>
      <c r="B644" s="1" t="s">
        <v>1331</v>
      </c>
      <c r="C644">
        <f>_xlfn.CHISQ.INV.RT(0.050001,10)</f>
        <v>18.306973456961057</v>
      </c>
      <c r="E644" s="1" t="s">
        <v>1332</v>
      </c>
    </row>
    <row r="645" spans="1:5" x14ac:dyDescent="0.25">
      <c r="A645" t="s">
        <v>1292</v>
      </c>
      <c r="B645" s="1" t="s">
        <v>1333</v>
      </c>
      <c r="C645">
        <f>CHIINV(0.05,10)</f>
        <v>18.307038053275146</v>
      </c>
      <c r="E645" s="1" t="s">
        <v>1334</v>
      </c>
    </row>
    <row r="646" spans="1:5" x14ac:dyDescent="0.25">
      <c r="A646" t="s">
        <v>1292</v>
      </c>
      <c r="B646" s="1" t="s">
        <v>1335</v>
      </c>
      <c r="C646">
        <f>_xlfn.CHISQ.TEST({58,35;11,25;10,23},{45.35,47.65;17.56,18.44;16.09,16.91})</f>
        <v>3.0819201700830936E-4</v>
      </c>
      <c r="E646" s="1" t="s">
        <v>1336</v>
      </c>
    </row>
    <row r="647" spans="1:5" x14ac:dyDescent="0.25">
      <c r="A647" t="s">
        <v>1292</v>
      </c>
      <c r="B647" s="1" t="s">
        <v>1337</v>
      </c>
      <c r="C647">
        <f>CHITEST({10,20,30},{15,20,25})</f>
        <v>0.26359713811572671</v>
      </c>
      <c r="E647" s="1" t="s">
        <v>1338</v>
      </c>
    </row>
    <row r="648" spans="1:5" x14ac:dyDescent="0.25">
      <c r="A648" t="s">
        <v>1292</v>
      </c>
      <c r="B648" s="1" t="s">
        <v>1339</v>
      </c>
      <c r="C648">
        <f>_xlfn.EXPON.DIST(0.2,10,TRUE)</f>
        <v>0.8646647167633873</v>
      </c>
      <c r="E648" s="1" t="s">
        <v>1340</v>
      </c>
    </row>
    <row r="649" spans="1:5" x14ac:dyDescent="0.25">
      <c r="A649" t="s">
        <v>1292</v>
      </c>
      <c r="B649" s="1" t="s">
        <v>1341</v>
      </c>
      <c r="C649">
        <f>_xlfn.EXPON.DIST(0.2,10,FALSE)</f>
        <v>1.353352832366127</v>
      </c>
      <c r="E649" s="1" t="s">
        <v>1342</v>
      </c>
    </row>
    <row r="650" spans="1:5" x14ac:dyDescent="0.25">
      <c r="A650" t="s">
        <v>1292</v>
      </c>
      <c r="B650" s="1" t="s">
        <v>1343</v>
      </c>
      <c r="C650">
        <f>EXPONDIST(1,2,TRUE)</f>
        <v>0.8646647167633873</v>
      </c>
      <c r="E650" s="1" t="s">
        <v>1344</v>
      </c>
    </row>
    <row r="651" spans="1:5" x14ac:dyDescent="0.25">
      <c r="A651" t="s">
        <v>1292</v>
      </c>
      <c r="B651" s="1" t="s">
        <v>1345</v>
      </c>
      <c r="C651">
        <f>_xlfn.F.DIST(15.2069,6,4,TRUE)</f>
        <v>0.99000004300276268</v>
      </c>
      <c r="E651" s="1" t="s">
        <v>1346</v>
      </c>
    </row>
    <row r="652" spans="1:5" x14ac:dyDescent="0.25">
      <c r="A652" t="s">
        <v>1292</v>
      </c>
      <c r="B652" s="1" t="s">
        <v>1347</v>
      </c>
      <c r="C652">
        <f>_xlfn.F.DIST(15.2069,6,4,FALSE)</f>
        <v>1.2237917087831725E-3</v>
      </c>
      <c r="E652" s="1" t="s">
        <v>1348</v>
      </c>
    </row>
    <row r="653" spans="1:5" x14ac:dyDescent="0.25">
      <c r="A653" t="s">
        <v>1292</v>
      </c>
      <c r="B653" s="1" t="s">
        <v>1349</v>
      </c>
      <c r="C653">
        <f>_xlfn.F.DIST.RT(15.2069,6,4)</f>
        <v>9.9999569972373126E-3</v>
      </c>
      <c r="E653" s="1" t="s">
        <v>1350</v>
      </c>
    </row>
    <row r="654" spans="1:5" x14ac:dyDescent="0.25">
      <c r="A654" t="s">
        <v>1292</v>
      </c>
      <c r="B654" s="1" t="s">
        <v>1351</v>
      </c>
      <c r="C654">
        <f>FDIST(2,5,10)</f>
        <v>0.16419495089973879</v>
      </c>
      <c r="E654" s="1" t="s">
        <v>1352</v>
      </c>
    </row>
    <row r="655" spans="1:5" x14ac:dyDescent="0.25">
      <c r="A655" t="s">
        <v>1292</v>
      </c>
      <c r="B655" s="1" t="s">
        <v>1353</v>
      </c>
      <c r="C655">
        <f>_xlfn.F.INV(0.01,6,4)</f>
        <v>0.10930991412457855</v>
      </c>
      <c r="E655" s="1" t="s">
        <v>1354</v>
      </c>
    </row>
    <row r="656" spans="1:5" x14ac:dyDescent="0.25">
      <c r="A656" t="s">
        <v>1292</v>
      </c>
      <c r="B656" s="1" t="s">
        <v>1355</v>
      </c>
      <c r="C656">
        <f>_xlfn.F.INV.RT(0.01,6,4)</f>
        <v>15.206864861157531</v>
      </c>
      <c r="E656" s="1" t="s">
        <v>1356</v>
      </c>
    </row>
    <row r="657" spans="1:5" x14ac:dyDescent="0.25">
      <c r="A657" t="s">
        <v>1292</v>
      </c>
      <c r="B657" s="1" t="s">
        <v>1357</v>
      </c>
      <c r="C657">
        <f>FINV(0.05,3,20)</f>
        <v>3.0983912121407795</v>
      </c>
      <c r="E657" s="1" t="s">
        <v>1358</v>
      </c>
    </row>
    <row r="658" spans="1:5" x14ac:dyDescent="0.25">
      <c r="A658" t="s">
        <v>1292</v>
      </c>
      <c r="B658" s="1" t="s">
        <v>1359</v>
      </c>
      <c r="C658">
        <f>_xlfn.F.TEST(Данные!C2:C11,Данные!E2:E11)</f>
        <v>1.9895153405513282E-23</v>
      </c>
      <c r="E658" s="1" t="s">
        <v>1360</v>
      </c>
    </row>
    <row r="659" spans="1:5" x14ac:dyDescent="0.25">
      <c r="A659" t="s">
        <v>1292</v>
      </c>
      <c r="B659" s="1" t="s">
        <v>1361</v>
      </c>
      <c r="C659">
        <f>FTEST({6,7,9,15,21},{20,28,31,38,40})</f>
        <v>0.64831784678617432</v>
      </c>
      <c r="E659" s="1" t="s">
        <v>1362</v>
      </c>
    </row>
    <row r="660" spans="1:5" x14ac:dyDescent="0.25">
      <c r="A660" t="s">
        <v>1292</v>
      </c>
      <c r="B660" s="1" t="s">
        <v>1363</v>
      </c>
      <c r="C660">
        <f>_xlfn.GAMMA(2.5)</f>
        <v>1.329340388179137</v>
      </c>
      <c r="E660" s="1" t="s">
        <v>1364</v>
      </c>
    </row>
    <row r="661" spans="1:5" x14ac:dyDescent="0.25">
      <c r="A661" t="s">
        <v>1292</v>
      </c>
      <c r="B661" s="1" t="s">
        <v>1365</v>
      </c>
      <c r="C661">
        <f>_xlfn.GAMMA(-0.75)</f>
        <v>-4.8341465442958782</v>
      </c>
      <c r="E661" s="1" t="s">
        <v>1366</v>
      </c>
    </row>
    <row r="662" spans="1:5" x14ac:dyDescent="0.25">
      <c r="A662" t="s">
        <v>1292</v>
      </c>
      <c r="B662" s="1" t="s">
        <v>1367</v>
      </c>
      <c r="C662" t="e">
        <f>_xlfn.GAMMA(0)</f>
        <v>#NUM!</v>
      </c>
      <c r="E662" s="1" t="s">
        <v>1368</v>
      </c>
    </row>
    <row r="663" spans="1:5" x14ac:dyDescent="0.25">
      <c r="A663" t="s">
        <v>1292</v>
      </c>
      <c r="B663" s="1" t="s">
        <v>1369</v>
      </c>
      <c r="C663">
        <f>_xlfn.GAMMA(10)</f>
        <v>362880</v>
      </c>
      <c r="E663" s="1" t="s">
        <v>1370</v>
      </c>
    </row>
    <row r="664" spans="1:5" x14ac:dyDescent="0.25">
      <c r="A664" t="s">
        <v>1292</v>
      </c>
      <c r="B664" s="1" t="s">
        <v>1371</v>
      </c>
      <c r="C664">
        <f>_xlfn.GAMMA.DIST(10.00001131,9,2,FALSE)</f>
        <v>3.2639130418294013E-2</v>
      </c>
      <c r="E664" s="1" t="s">
        <v>1372</v>
      </c>
    </row>
    <row r="665" spans="1:5" x14ac:dyDescent="0.25">
      <c r="A665" t="s">
        <v>1292</v>
      </c>
      <c r="B665" s="1" t="s">
        <v>1373</v>
      </c>
      <c r="C665">
        <f>_xlfn.GAMMA.DIST(10.00001131,9,2,TRUE)</f>
        <v>6.809400386978734E-2</v>
      </c>
      <c r="E665" s="1" t="s">
        <v>1374</v>
      </c>
    </row>
    <row r="666" spans="1:5" x14ac:dyDescent="0.25">
      <c r="A666" t="s">
        <v>1292</v>
      </c>
      <c r="B666" s="1" t="s">
        <v>1375</v>
      </c>
      <c r="C666">
        <f>GAMMADIST(3,2,1,TRUE)</f>
        <v>0.80085172652854419</v>
      </c>
      <c r="E666" s="1" t="s">
        <v>1376</v>
      </c>
    </row>
    <row r="667" spans="1:5" x14ac:dyDescent="0.25">
      <c r="A667" t="s">
        <v>1292</v>
      </c>
      <c r="B667" s="1" t="s">
        <v>1377</v>
      </c>
      <c r="C667">
        <f>_xlfn.GAMMA.INV(0.068094,9,2)</f>
        <v>10.00001119143718</v>
      </c>
      <c r="E667" s="1" t="s">
        <v>1378</v>
      </c>
    </row>
    <row r="668" spans="1:5" x14ac:dyDescent="0.25">
      <c r="A668" t="s">
        <v>1292</v>
      </c>
      <c r="B668" s="1" t="s">
        <v>1379</v>
      </c>
      <c r="C668">
        <f>GAMMAINV(0.5,3,2)</f>
        <v>5.3481206274471216</v>
      </c>
      <c r="E668" s="1" t="s">
        <v>1380</v>
      </c>
    </row>
    <row r="669" spans="1:5" x14ac:dyDescent="0.25">
      <c r="A669" t="s">
        <v>1292</v>
      </c>
      <c r="B669" s="1" t="s">
        <v>1381</v>
      </c>
      <c r="C669">
        <f>GAMMALN(4)</f>
        <v>1.791759469228055</v>
      </c>
      <c r="E669" s="1" t="s">
        <v>1382</v>
      </c>
    </row>
    <row r="670" spans="1:5" x14ac:dyDescent="0.25">
      <c r="A670" t="s">
        <v>1292</v>
      </c>
      <c r="B670" s="1" t="s">
        <v>1383</v>
      </c>
      <c r="C670">
        <f>GAMMALN(0.5)</f>
        <v>0.57236494292470008</v>
      </c>
      <c r="E670" s="1" t="s">
        <v>1384</v>
      </c>
    </row>
    <row r="671" spans="1:5" x14ac:dyDescent="0.25">
      <c r="A671" t="s">
        <v>1292</v>
      </c>
      <c r="B671" s="1" t="s">
        <v>1385</v>
      </c>
      <c r="C671">
        <f>_xlfn.GAMMALN.PRECISE(100)</f>
        <v>359.1342053695754</v>
      </c>
      <c r="E671" s="1" t="s">
        <v>1386</v>
      </c>
    </row>
    <row r="672" spans="1:5" x14ac:dyDescent="0.25">
      <c r="A672" t="s">
        <v>1292</v>
      </c>
      <c r="B672" s="1" t="s">
        <v>1387</v>
      </c>
      <c r="C672">
        <f>_xlfn.HYPGEOM.DIST(1,4,8,20,TRUE)</f>
        <v>0.46542827657378727</v>
      </c>
      <c r="E672" s="1" t="s">
        <v>1388</v>
      </c>
    </row>
    <row r="673" spans="1:5" x14ac:dyDescent="0.25">
      <c r="A673" t="s">
        <v>1292</v>
      </c>
      <c r="B673" s="1" t="s">
        <v>1389</v>
      </c>
      <c r="C673">
        <f>_xlfn.HYPGEOM.DIST(1,4,8,20,FALSE)</f>
        <v>0.36326109391124861</v>
      </c>
      <c r="E673" s="1" t="s">
        <v>1390</v>
      </c>
    </row>
    <row r="674" spans="1:5" x14ac:dyDescent="0.25">
      <c r="A674" t="s">
        <v>1292</v>
      </c>
      <c r="B674" s="1" t="s">
        <v>1391</v>
      </c>
      <c r="C674">
        <f>HYPGEOMDIST(2,10,5,30)</f>
        <v>0.35998484274346321</v>
      </c>
      <c r="E674" s="1" t="s">
        <v>1392</v>
      </c>
    </row>
    <row r="675" spans="1:5" x14ac:dyDescent="0.25">
      <c r="A675" t="s">
        <v>1292</v>
      </c>
      <c r="B675" s="1" t="s">
        <v>1393</v>
      </c>
      <c r="C675">
        <f>_xlfn.LOGNORM.DIST(4,3.5,1.2,TRUE)</f>
        <v>3.9083555706800478E-2</v>
      </c>
      <c r="E675" s="1" t="s">
        <v>1394</v>
      </c>
    </row>
    <row r="676" spans="1:5" x14ac:dyDescent="0.25">
      <c r="A676" t="s">
        <v>1292</v>
      </c>
      <c r="B676" s="1" t="s">
        <v>1395</v>
      </c>
      <c r="C676">
        <f>_xlfn.LOGNORM.DIST(4,3.5,1.2,FALSE)</f>
        <v>1.7617596681819218E-2</v>
      </c>
      <c r="E676" s="1" t="s">
        <v>1396</v>
      </c>
    </row>
    <row r="677" spans="1:5" x14ac:dyDescent="0.25">
      <c r="A677" t="s">
        <v>1292</v>
      </c>
      <c r="B677" s="1" t="s">
        <v>1397</v>
      </c>
      <c r="C677">
        <f>LOGNORMDIST(4,3.5,1.2)</f>
        <v>3.9083555706800478E-2</v>
      </c>
      <c r="E677" s="1" t="s">
        <v>1398</v>
      </c>
    </row>
    <row r="678" spans="1:5" x14ac:dyDescent="0.25">
      <c r="A678" t="s">
        <v>1292</v>
      </c>
      <c r="B678" s="1" t="s">
        <v>1399</v>
      </c>
      <c r="C678">
        <f>_xlfn.LOGNORM.INV(0.039084,3.5,1.2)</f>
        <v>4.000025218680638</v>
      </c>
      <c r="E678" s="1" t="s">
        <v>1400</v>
      </c>
    </row>
    <row r="679" spans="1:5" x14ac:dyDescent="0.25">
      <c r="A679" t="s">
        <v>1292</v>
      </c>
      <c r="B679" s="1" t="s">
        <v>1401</v>
      </c>
      <c r="C679">
        <f>LOGINV(0.5,0,1)</f>
        <v>1</v>
      </c>
      <c r="E679" s="1" t="s">
        <v>1402</v>
      </c>
    </row>
    <row r="680" spans="1:5" x14ac:dyDescent="0.25">
      <c r="A680" t="s">
        <v>1292</v>
      </c>
      <c r="B680" s="1" t="s">
        <v>1403</v>
      </c>
      <c r="C680">
        <f>_xlfn.NEGBINOM.DIST(10,5,0.25,TRUE)</f>
        <v>0.31351405847817665</v>
      </c>
      <c r="E680" s="1" t="s">
        <v>1404</v>
      </c>
    </row>
    <row r="681" spans="1:5" x14ac:dyDescent="0.25">
      <c r="A681" t="s">
        <v>1292</v>
      </c>
      <c r="B681" s="1" t="s">
        <v>1405</v>
      </c>
      <c r="C681">
        <f>_xlfn.NEGBINOM.DIST(10,5,0.25,FALSE)</f>
        <v>5.5048660375177853E-2</v>
      </c>
      <c r="E681" s="1" t="s">
        <v>1406</v>
      </c>
    </row>
    <row r="682" spans="1:5" x14ac:dyDescent="0.25">
      <c r="A682" t="s">
        <v>1292</v>
      </c>
      <c r="B682" s="1" t="s">
        <v>1407</v>
      </c>
      <c r="C682">
        <f>NEGBINOMDIST(3,2,0.5)</f>
        <v>0.12499999999999996</v>
      </c>
      <c r="E682" s="1" t="s">
        <v>1408</v>
      </c>
    </row>
    <row r="683" spans="1:5" x14ac:dyDescent="0.25">
      <c r="A683" t="s">
        <v>1292</v>
      </c>
      <c r="B683" s="1" t="s">
        <v>1409</v>
      </c>
      <c r="C683">
        <f>_xlfn.POISSON.DIST(2,5,TRUE)</f>
        <v>0.12465201948308113</v>
      </c>
      <c r="E683" s="1" t="s">
        <v>1410</v>
      </c>
    </row>
    <row r="684" spans="1:5" x14ac:dyDescent="0.25">
      <c r="A684" t="s">
        <v>1292</v>
      </c>
      <c r="B684" s="1" t="s">
        <v>1411</v>
      </c>
      <c r="C684">
        <f>_xlfn.POISSON.DIST(2,5,FALSE)</f>
        <v>8.4224337488568335E-2</v>
      </c>
      <c r="E684" s="1" t="s">
        <v>1412</v>
      </c>
    </row>
    <row r="685" spans="1:5" x14ac:dyDescent="0.25">
      <c r="A685" t="s">
        <v>1292</v>
      </c>
      <c r="B685" s="1" t="s">
        <v>1413</v>
      </c>
      <c r="C685">
        <f>POISSON(10,7,TRUE)</f>
        <v>0.90147920588908714</v>
      </c>
      <c r="E685" s="1" t="s">
        <v>1414</v>
      </c>
    </row>
    <row r="686" spans="1:5" x14ac:dyDescent="0.25">
      <c r="A686" t="s">
        <v>1292</v>
      </c>
      <c r="B686" s="1" t="s">
        <v>1415</v>
      </c>
      <c r="C686">
        <f>_xlfn.T.DIST(60,1,TRUE)</f>
        <v>0.99469532636737668</v>
      </c>
      <c r="E686" s="1" t="s">
        <v>1416</v>
      </c>
    </row>
    <row r="687" spans="1:5" x14ac:dyDescent="0.25">
      <c r="A687" t="s">
        <v>1292</v>
      </c>
      <c r="B687" s="1" t="s">
        <v>1417</v>
      </c>
      <c r="C687">
        <f>_xlfn.T.DIST(8,3,FALSE)</f>
        <v>7.3690652094692661E-4</v>
      </c>
      <c r="E687" s="1" t="s">
        <v>1418</v>
      </c>
    </row>
    <row r="688" spans="1:5" x14ac:dyDescent="0.25">
      <c r="A688" t="s">
        <v>1292</v>
      </c>
      <c r="B688" s="1" t="s">
        <v>1419</v>
      </c>
      <c r="C688">
        <f>_xlfn.T.DIST(-1.5,4,TRUE)</f>
        <v>0.10399999999999993</v>
      </c>
      <c r="E688" s="1" t="s">
        <v>1420</v>
      </c>
    </row>
    <row r="689" spans="1:5" x14ac:dyDescent="0.25">
      <c r="A689" t="s">
        <v>1292</v>
      </c>
      <c r="B689" s="1" t="s">
        <v>1421</v>
      </c>
      <c r="C689">
        <f>_xlfn.T.DIST.2T(1.959999998,60)</f>
        <v>5.4644929975920957E-2</v>
      </c>
      <c r="E689" s="1" t="s">
        <v>1422</v>
      </c>
    </row>
    <row r="690" spans="1:5" x14ac:dyDescent="0.25">
      <c r="A690" t="s">
        <v>1292</v>
      </c>
      <c r="B690" s="1" t="s">
        <v>1423</v>
      </c>
      <c r="C690">
        <f>_xlfn.T.DIST.RT(1.959999998,60)</f>
        <v>2.7322464987960478E-2</v>
      </c>
      <c r="E690" s="1" t="s">
        <v>1424</v>
      </c>
    </row>
    <row r="691" spans="1:5" x14ac:dyDescent="0.25">
      <c r="A691" t="s">
        <v>1292</v>
      </c>
      <c r="B691" s="1" t="s">
        <v>1425</v>
      </c>
      <c r="C691">
        <f>TDIST(1.96,60,2)</f>
        <v>5.4644929736529339E-2</v>
      </c>
      <c r="E691" s="1" t="s">
        <v>1426</v>
      </c>
    </row>
    <row r="692" spans="1:5" x14ac:dyDescent="0.25">
      <c r="A692" t="s">
        <v>1292</v>
      </c>
      <c r="B692" s="1" t="s">
        <v>1427</v>
      </c>
      <c r="C692">
        <f>TDIST(1.96,60,1)</f>
        <v>2.732246486826467E-2</v>
      </c>
      <c r="E692" s="1" t="s">
        <v>1428</v>
      </c>
    </row>
    <row r="693" spans="1:5" x14ac:dyDescent="0.25">
      <c r="A693" t="s">
        <v>1292</v>
      </c>
      <c r="B693" s="1" t="s">
        <v>1429</v>
      </c>
      <c r="C693">
        <f>_xlfn.T.INV(0.75,2)</f>
        <v>0.81649658092772592</v>
      </c>
      <c r="E693" s="1" t="s">
        <v>1430</v>
      </c>
    </row>
    <row r="694" spans="1:5" x14ac:dyDescent="0.25">
      <c r="A694" t="s">
        <v>1292</v>
      </c>
      <c r="B694" s="1" t="s">
        <v>1431</v>
      </c>
      <c r="C694">
        <f>_xlfn.T.INV(0.05,10)</f>
        <v>-1.812461122811676</v>
      </c>
      <c r="E694" s="1" t="s">
        <v>1432</v>
      </c>
    </row>
    <row r="695" spans="1:5" x14ac:dyDescent="0.25">
      <c r="A695" t="s">
        <v>1292</v>
      </c>
      <c r="B695" s="1" t="s">
        <v>1433</v>
      </c>
      <c r="C695">
        <f>_xlfn.T.INV.2T(0.546449,60)</f>
        <v>0.60653307582575899</v>
      </c>
      <c r="E695" s="1" t="s">
        <v>1434</v>
      </c>
    </row>
    <row r="696" spans="1:5" x14ac:dyDescent="0.25">
      <c r="A696" t="s">
        <v>1292</v>
      </c>
      <c r="B696" s="1" t="s">
        <v>1435</v>
      </c>
      <c r="C696">
        <f>TINV(0.05,30)</f>
        <v>2.0422724563012378</v>
      </c>
      <c r="E696" s="1" t="s">
        <v>1436</v>
      </c>
    </row>
    <row r="697" spans="1:5" x14ac:dyDescent="0.25">
      <c r="A697" t="s">
        <v>1292</v>
      </c>
      <c r="B697" s="1" t="s">
        <v>1437</v>
      </c>
      <c r="C697">
        <f>_xlfn.T.TEST({3,4,5,8,9,1,2,4,5},{6,19,3,2,14,4,5,17,1},2,1)</f>
        <v>0.19601578492528193</v>
      </c>
      <c r="E697" s="1" t="s">
        <v>1438</v>
      </c>
    </row>
    <row r="698" spans="1:5" x14ac:dyDescent="0.25">
      <c r="A698" t="s">
        <v>1292</v>
      </c>
      <c r="B698" s="1" t="s">
        <v>1439</v>
      </c>
      <c r="C698">
        <f>_xlfn.T.TEST(Данные!C2:C6,Данные!C7:C11,2,2)</f>
        <v>0.68139091316772538</v>
      </c>
      <c r="E698" s="1" t="s">
        <v>1440</v>
      </c>
    </row>
    <row r="699" spans="1:5" x14ac:dyDescent="0.25">
      <c r="A699" t="s">
        <v>1292</v>
      </c>
      <c r="B699" s="1" t="s">
        <v>1441</v>
      </c>
      <c r="C699">
        <f>_xlfn.T.TEST(Данные!C2:C6,Данные!C7:C11,1,3)</f>
        <v>0.34101896362342221</v>
      </c>
      <c r="E699" s="1" t="s">
        <v>1442</v>
      </c>
    </row>
    <row r="700" spans="1:5" x14ac:dyDescent="0.25">
      <c r="A700" t="s">
        <v>1292</v>
      </c>
      <c r="B700" s="1" t="s">
        <v>1443</v>
      </c>
      <c r="C700">
        <f>TTEST({1,2,3,4},{2,4,6,9},2,3)</f>
        <v>0.16470207962805669</v>
      </c>
      <c r="E700" s="1" t="s">
        <v>1444</v>
      </c>
    </row>
    <row r="701" spans="1:5" x14ac:dyDescent="0.25">
      <c r="A701" t="s">
        <v>1292</v>
      </c>
      <c r="B701" s="1" t="s">
        <v>1445</v>
      </c>
      <c r="C701">
        <f>_xlfn.WEIBULL.DIST(105,20,100,TRUE)</f>
        <v>0.92958139006927698</v>
      </c>
      <c r="E701" s="1" t="s">
        <v>1446</v>
      </c>
    </row>
    <row r="702" spans="1:5" x14ac:dyDescent="0.25">
      <c r="A702" t="s">
        <v>1292</v>
      </c>
      <c r="B702" s="1" t="s">
        <v>1447</v>
      </c>
      <c r="C702">
        <f>_xlfn.WEIBULL.DIST(105,20,100,FALSE)</f>
        <v>3.5588864024503564E-2</v>
      </c>
      <c r="E702" s="1" t="s">
        <v>1448</v>
      </c>
    </row>
    <row r="703" spans="1:5" x14ac:dyDescent="0.25">
      <c r="A703" t="s">
        <v>1292</v>
      </c>
      <c r="B703" s="1" t="s">
        <v>1449</v>
      </c>
      <c r="C703">
        <f>WEIBULL(2,1.5,3,TRUE)</f>
        <v>0.41977020402532705</v>
      </c>
      <c r="E703" s="1" t="s">
        <v>1450</v>
      </c>
    </row>
    <row r="704" spans="1:5" x14ac:dyDescent="0.25">
      <c r="A704" t="s">
        <v>1292</v>
      </c>
      <c r="B704" s="1" t="s">
        <v>1451</v>
      </c>
      <c r="C704">
        <f>_xlfn.Z.TEST({3,6,7,8,6,5,4,2,1,9},4)</f>
        <v>9.0574196851363808E-2</v>
      </c>
      <c r="E704" s="1" t="s">
        <v>1452</v>
      </c>
    </row>
    <row r="705" spans="1:5" x14ac:dyDescent="0.25">
      <c r="A705" t="s">
        <v>1292</v>
      </c>
      <c r="B705" s="1" t="s">
        <v>1453</v>
      </c>
      <c r="C705">
        <f>_xlfn.Z.TEST({3,6,7,8,6,5,4,2,1,9},6,2)</f>
        <v>0.92263553825731093</v>
      </c>
      <c r="E705" s="1" t="s">
        <v>1454</v>
      </c>
    </row>
    <row r="706" spans="1:5" x14ac:dyDescent="0.25">
      <c r="A706" t="s">
        <v>1292</v>
      </c>
      <c r="B706" s="1" t="s">
        <v>1455</v>
      </c>
      <c r="C706">
        <f>ZTEST(Данные!E2:E11,3)</f>
        <v>0.12883847438935495</v>
      </c>
      <c r="E706" s="1" t="s">
        <v>1456</v>
      </c>
    </row>
    <row r="707" spans="1:5" x14ac:dyDescent="0.25">
      <c r="A707" t="s">
        <v>1292</v>
      </c>
      <c r="B707" s="1" t="s">
        <v>1457</v>
      </c>
      <c r="C707">
        <f>_xlfn.CONFIDENCE.T(0.05,1,50)</f>
        <v>0.28419685549572982</v>
      </c>
      <c r="E707" s="1" t="s">
        <v>1458</v>
      </c>
    </row>
    <row r="708" spans="1:5" x14ac:dyDescent="0.25">
      <c r="A708" t="s">
        <v>1292</v>
      </c>
      <c r="B708" s="1" t="s">
        <v>1459</v>
      </c>
      <c r="C708">
        <f>_xlfn.CONFIDENCE.T(0.1,2.5,12)</f>
        <v>1.2960682293904275</v>
      </c>
      <c r="E708" s="1" t="s">
        <v>1460</v>
      </c>
    </row>
    <row r="709" spans="1:5" x14ac:dyDescent="0.25">
      <c r="A709" t="s">
        <v>1461</v>
      </c>
      <c r="B709" s="1" t="s">
        <v>1462</v>
      </c>
      <c r="C709" t="str">
        <f>COMPLEX(3,4)</f>
        <v>3+4i</v>
      </c>
      <c r="E709" s="1" t="s">
        <v>1463</v>
      </c>
    </row>
    <row r="710" spans="1:5" x14ac:dyDescent="0.25">
      <c r="A710" t="s">
        <v>1461</v>
      </c>
      <c r="B710" s="1" t="s">
        <v>1464</v>
      </c>
      <c r="C710" t="str">
        <f>COMPLEX(3,4,"j")</f>
        <v>3+4j</v>
      </c>
      <c r="E710" s="1" t="s">
        <v>1465</v>
      </c>
    </row>
    <row r="711" spans="1:5" x14ac:dyDescent="0.25">
      <c r="A711" t="s">
        <v>1461</v>
      </c>
      <c r="B711" s="1" t="s">
        <v>1466</v>
      </c>
      <c r="C711" t="str">
        <f>COMPLEX(0,1)</f>
        <v>i</v>
      </c>
      <c r="E711" s="1" t="s">
        <v>1467</v>
      </c>
    </row>
    <row r="712" spans="1:5" x14ac:dyDescent="0.25">
      <c r="A712" t="s">
        <v>1461</v>
      </c>
      <c r="B712" s="1" t="s">
        <v>1468</v>
      </c>
      <c r="C712" t="str">
        <f>COMPLEX(0,-1)</f>
        <v>-i</v>
      </c>
      <c r="E712" s="1" t="s">
        <v>1469</v>
      </c>
    </row>
    <row r="713" spans="1:5" x14ac:dyDescent="0.25">
      <c r="A713" t="s">
        <v>1461</v>
      </c>
      <c r="B713" s="1" t="s">
        <v>1470</v>
      </c>
      <c r="C713" t="str">
        <f>COMPLEX(1.5,0)</f>
        <v>1,5</v>
      </c>
      <c r="E713" s="1" t="s">
        <v>1471</v>
      </c>
    </row>
    <row r="714" spans="1:5" x14ac:dyDescent="0.25">
      <c r="A714" t="s">
        <v>1461</v>
      </c>
      <c r="B714" s="1" t="s">
        <v>1472</v>
      </c>
      <c r="C714" t="str">
        <f>COMPLEX(-2.5,-0.5)</f>
        <v>-2,5-0,5i</v>
      </c>
      <c r="E714" s="1" t="s">
        <v>1473</v>
      </c>
    </row>
    <row r="715" spans="1:5" x14ac:dyDescent="0.25">
      <c r="A715" t="s">
        <v>1461</v>
      </c>
      <c r="B715" s="1" t="s">
        <v>1474</v>
      </c>
      <c r="C715">
        <f>IMABS("5+12i")</f>
        <v>13</v>
      </c>
      <c r="E715" s="1" t="s">
        <v>1475</v>
      </c>
    </row>
    <row r="716" spans="1:5" x14ac:dyDescent="0.25">
      <c r="A716" t="s">
        <v>1461</v>
      </c>
      <c r="B716" s="1" t="s">
        <v>1476</v>
      </c>
      <c r="C716">
        <f>IMAGINARY("3+4i")</f>
        <v>4</v>
      </c>
      <c r="E716" s="1" t="s">
        <v>1477</v>
      </c>
    </row>
    <row r="717" spans="1:5" x14ac:dyDescent="0.25">
      <c r="A717" t="s">
        <v>1461</v>
      </c>
      <c r="B717" s="1" t="s">
        <v>1478</v>
      </c>
      <c r="C717">
        <f>IMAGINARY("-i")</f>
        <v>-1</v>
      </c>
      <c r="E717" s="1" t="s">
        <v>1479</v>
      </c>
    </row>
    <row r="718" spans="1:5" x14ac:dyDescent="0.25">
      <c r="A718" t="s">
        <v>1461</v>
      </c>
      <c r="B718" s="1" t="s">
        <v>1480</v>
      </c>
      <c r="C718">
        <f>IMREAL("6-9i")</f>
        <v>6</v>
      </c>
      <c r="E718" s="1" t="s">
        <v>1481</v>
      </c>
    </row>
    <row r="719" spans="1:5" x14ac:dyDescent="0.25">
      <c r="A719" t="s">
        <v>1461</v>
      </c>
      <c r="B719" s="1" t="s">
        <v>1482</v>
      </c>
      <c r="C719">
        <f>IMARGUMENT("3+4i")</f>
        <v>0.92729521800161219</v>
      </c>
      <c r="E719" s="1" t="s">
        <v>1483</v>
      </c>
    </row>
    <row r="720" spans="1:5" x14ac:dyDescent="0.25">
      <c r="A720" t="s">
        <v>1461</v>
      </c>
      <c r="B720" s="1" t="s">
        <v>1484</v>
      </c>
      <c r="C720" t="str">
        <f>IMCONJUGATE("3+4i")</f>
        <v>3-4i</v>
      </c>
      <c r="E720" s="1" t="s">
        <v>1485</v>
      </c>
    </row>
    <row r="721" spans="1:5" x14ac:dyDescent="0.25">
      <c r="A721" t="s">
        <v>1461</v>
      </c>
      <c r="B721" s="1" t="s">
        <v>1486</v>
      </c>
      <c r="C721" t="str">
        <f>IMCOS("1+i")</f>
        <v>0,833730025131149-0,988897705762865i</v>
      </c>
      <c r="E721" s="1" t="s">
        <v>1487</v>
      </c>
    </row>
    <row r="722" spans="1:5" x14ac:dyDescent="0.25">
      <c r="A722" t="s">
        <v>1461</v>
      </c>
      <c r="B722" s="1" t="s">
        <v>1488</v>
      </c>
      <c r="C722" t="str">
        <f>_xlfn.IMCOSH("4+3i")</f>
        <v>-27,0349456030742+3,85115333481178i</v>
      </c>
      <c r="E722" s="1" t="s">
        <v>1489</v>
      </c>
    </row>
    <row r="723" spans="1:5" x14ac:dyDescent="0.25">
      <c r="A723" t="s">
        <v>1461</v>
      </c>
      <c r="B723" s="1" t="s">
        <v>1490</v>
      </c>
      <c r="C723" t="str">
        <f>_xlfn.IMCOT("4+3i")</f>
        <v>0,00490118239430447-0,999266927805902i</v>
      </c>
      <c r="E723" s="1" t="s">
        <v>1491</v>
      </c>
    </row>
    <row r="724" spans="1:5" x14ac:dyDescent="0.25">
      <c r="A724" t="s">
        <v>1461</v>
      </c>
      <c r="B724" s="1" t="s">
        <v>1492</v>
      </c>
      <c r="C724" t="str">
        <f>_xlfn.IMCSC("4+3i")</f>
        <v>-0,0754898329158637+0,0648774713706355i</v>
      </c>
      <c r="E724" s="1" t="s">
        <v>1493</v>
      </c>
    </row>
    <row r="725" spans="1:5" x14ac:dyDescent="0.25">
      <c r="A725" t="s">
        <v>1461</v>
      </c>
      <c r="B725" s="1" t="s">
        <v>1494</v>
      </c>
      <c r="C725" t="str">
        <f>_xlfn.IMCSCH("4+3i")</f>
        <v>-0,036275889628626-0,0051744731840194i</v>
      </c>
      <c r="E725" s="1" t="s">
        <v>1495</v>
      </c>
    </row>
    <row r="726" spans="1:5" x14ac:dyDescent="0.25">
      <c r="A726" t="s">
        <v>1461</v>
      </c>
      <c r="B726" s="1" t="s">
        <v>1496</v>
      </c>
      <c r="C726" t="str">
        <f>IMDIV("-238+240i","10+24i")</f>
        <v>5+12i</v>
      </c>
      <c r="E726" s="1" t="s">
        <v>1497</v>
      </c>
    </row>
    <row r="727" spans="1:5" x14ac:dyDescent="0.25">
      <c r="A727" t="s">
        <v>1461</v>
      </c>
      <c r="B727" s="1" t="s">
        <v>1498</v>
      </c>
      <c r="C727" t="str">
        <f>IMEXP("1+i")</f>
        <v>1,46869393991589+2,28735528717884i</v>
      </c>
      <c r="E727" s="1" t="s">
        <v>1499</v>
      </c>
    </row>
    <row r="728" spans="1:5" x14ac:dyDescent="0.25">
      <c r="A728" t="s">
        <v>1461</v>
      </c>
      <c r="B728" s="1" t="s">
        <v>1500</v>
      </c>
      <c r="C728" t="str">
        <f>IMLN("3+4i")</f>
        <v>1,6094379124341+0,927295218001612i</v>
      </c>
      <c r="E728" s="1" t="s">
        <v>1501</v>
      </c>
    </row>
    <row r="729" spans="1:5" x14ac:dyDescent="0.25">
      <c r="A729" t="s">
        <v>1461</v>
      </c>
      <c r="B729" s="1" t="s">
        <v>1502</v>
      </c>
      <c r="C729" t="str">
        <f>IMLOG10("3+4i")</f>
        <v>0,698970004336019+0,402719196273373i</v>
      </c>
      <c r="E729" s="1" t="s">
        <v>1503</v>
      </c>
    </row>
    <row r="730" spans="1:5" x14ac:dyDescent="0.25">
      <c r="A730" t="s">
        <v>1461</v>
      </c>
      <c r="B730" s="1" t="s">
        <v>1504</v>
      </c>
      <c r="C730" t="str">
        <f>IMLOG2("3+4i")</f>
        <v>2,32192809488736+1,33780421245098i</v>
      </c>
      <c r="E730" s="1" t="s">
        <v>1505</v>
      </c>
    </row>
    <row r="731" spans="1:5" x14ac:dyDescent="0.25">
      <c r="A731" t="s">
        <v>1461</v>
      </c>
      <c r="B731" s="1" t="s">
        <v>1506</v>
      </c>
      <c r="C731" t="str">
        <f>IMPOWER("2+3i",3)</f>
        <v>-46+9,00000000000001i</v>
      </c>
      <c r="E731" s="1" t="s">
        <v>1507</v>
      </c>
    </row>
    <row r="732" spans="1:5" x14ac:dyDescent="0.25">
      <c r="A732" t="s">
        <v>1461</v>
      </c>
      <c r="B732" s="1" t="s">
        <v>1508</v>
      </c>
      <c r="C732" t="str">
        <f>IMPOWER("2+3i",0.5)</f>
        <v>1,67414922803554+0,895977476129838i</v>
      </c>
      <c r="E732" s="1" t="s">
        <v>1509</v>
      </c>
    </row>
    <row r="733" spans="1:5" x14ac:dyDescent="0.25">
      <c r="A733" t="s">
        <v>1461</v>
      </c>
      <c r="B733" s="1" t="s">
        <v>1510</v>
      </c>
      <c r="C733" t="str">
        <f>IMPRODUCT("3+4i","5-3i")</f>
        <v>27+11i</v>
      </c>
      <c r="E733" s="1" t="s">
        <v>1511</v>
      </c>
    </row>
    <row r="734" spans="1:5" x14ac:dyDescent="0.25">
      <c r="A734" t="s">
        <v>1461</v>
      </c>
      <c r="B734" s="1" t="s">
        <v>1512</v>
      </c>
      <c r="C734" t="str">
        <f>IMPRODUCT("1+2i",30)</f>
        <v>30+60i</v>
      </c>
      <c r="E734" s="1" t="s">
        <v>1513</v>
      </c>
    </row>
    <row r="735" spans="1:5" x14ac:dyDescent="0.25">
      <c r="A735" t="s">
        <v>1461</v>
      </c>
      <c r="B735" s="1" t="s">
        <v>1514</v>
      </c>
      <c r="C735" t="str">
        <f>_xlfn.IMSEC("4+3i")</f>
        <v>-0,0652940278579471-0,0752249603027732i</v>
      </c>
      <c r="E735" s="1" t="s">
        <v>1515</v>
      </c>
    </row>
    <row r="736" spans="1:5" x14ac:dyDescent="0.25">
      <c r="A736" t="s">
        <v>1461</v>
      </c>
      <c r="B736" s="1" t="s">
        <v>1516</v>
      </c>
      <c r="C736" t="str">
        <f>_xlfn.IMSECH("4+3i")</f>
        <v>-0,0362534969158689-0,00516434460775318i</v>
      </c>
      <c r="E736" s="1" t="s">
        <v>1517</v>
      </c>
    </row>
    <row r="737" spans="1:5" x14ac:dyDescent="0.25">
      <c r="A737" t="s">
        <v>1461</v>
      </c>
      <c r="B737" s="1" t="s">
        <v>1518</v>
      </c>
      <c r="C737" t="str">
        <f>IMSIN("4+3i")</f>
        <v>-7,61923172032141-6,548120040911i</v>
      </c>
      <c r="E737" s="1" t="s">
        <v>1519</v>
      </c>
    </row>
    <row r="738" spans="1:5" x14ac:dyDescent="0.25">
      <c r="A738" t="s">
        <v>1461</v>
      </c>
      <c r="B738" s="1" t="s">
        <v>1520</v>
      </c>
      <c r="C738" t="str">
        <f>_xlfn.IMSINH("4+3i")</f>
        <v>-27,0168132580039+3,85373803791938i</v>
      </c>
      <c r="E738" s="1" t="s">
        <v>1521</v>
      </c>
    </row>
    <row r="739" spans="1:5" x14ac:dyDescent="0.25">
      <c r="A739" t="s">
        <v>1461</v>
      </c>
      <c r="B739" s="1" t="s">
        <v>1522</v>
      </c>
      <c r="C739" t="str">
        <f>IMSQRT("1+i")</f>
        <v>1,09868411346781+0,455089860562227i</v>
      </c>
      <c r="E739" s="1" t="s">
        <v>1523</v>
      </c>
    </row>
    <row r="740" spans="1:5" x14ac:dyDescent="0.25">
      <c r="A740" t="s">
        <v>1461</v>
      </c>
      <c r="B740" s="1" t="s">
        <v>1524</v>
      </c>
      <c r="C740" t="str">
        <f>IMSQRT("-4")</f>
        <v>1,22514845490862E-16+2i</v>
      </c>
      <c r="E740" s="1" t="s">
        <v>1525</v>
      </c>
    </row>
    <row r="741" spans="1:5" x14ac:dyDescent="0.25">
      <c r="A741" t="s">
        <v>1461</v>
      </c>
      <c r="B741" s="1" t="s">
        <v>1526</v>
      </c>
      <c r="C741" t="str">
        <f>IMSUB("13+4i","5+3i")</f>
        <v>8+i</v>
      </c>
      <c r="E741" s="1" t="s">
        <v>1527</v>
      </c>
    </row>
    <row r="742" spans="1:5" x14ac:dyDescent="0.25">
      <c r="A742" t="s">
        <v>1461</v>
      </c>
      <c r="B742" s="1" t="s">
        <v>1528</v>
      </c>
      <c r="C742" t="str">
        <f>IMSUM("3+4i","5-3i")</f>
        <v>8+i</v>
      </c>
      <c r="E742" s="1" t="s">
        <v>1529</v>
      </c>
    </row>
    <row r="743" spans="1:5" x14ac:dyDescent="0.25">
      <c r="A743" t="s">
        <v>1461</v>
      </c>
      <c r="B743" s="1" t="s">
        <v>1530</v>
      </c>
      <c r="C743" t="str">
        <f>IMSUM("1+i","2-i")</f>
        <v>3</v>
      </c>
      <c r="E743" s="1" t="s">
        <v>1531</v>
      </c>
    </row>
    <row r="744" spans="1:5" x14ac:dyDescent="0.25">
      <c r="A744" t="s">
        <v>1461</v>
      </c>
      <c r="B744" s="1" t="s">
        <v>1532</v>
      </c>
      <c r="C744" t="str">
        <f>_xlfn.IMTAN("4+3i")</f>
        <v>0,00490825806749606+1,00070953606723i</v>
      </c>
      <c r="E744" s="1" t="s">
        <v>1533</v>
      </c>
    </row>
    <row r="745" spans="1:5" x14ac:dyDescent="0.25">
      <c r="A745" t="s">
        <v>1461</v>
      </c>
      <c r="B745" s="1" t="s">
        <v>1534</v>
      </c>
      <c r="C745">
        <f>IMABS("1,5+2i")</f>
        <v>2.5</v>
      </c>
      <c r="E745" s="1" t="s">
        <v>1535</v>
      </c>
    </row>
    <row r="746" spans="1:5" x14ac:dyDescent="0.25">
      <c r="A746" t="s">
        <v>1461</v>
      </c>
      <c r="B746" s="1" t="s">
        <v>1536</v>
      </c>
      <c r="C746">
        <f>IMREAL("j")</f>
        <v>0</v>
      </c>
      <c r="E746" s="1" t="s">
        <v>1537</v>
      </c>
    </row>
    <row r="747" spans="1:5" x14ac:dyDescent="0.25">
      <c r="A747" t="s">
        <v>1461</v>
      </c>
      <c r="B747" s="1" t="s">
        <v>1538</v>
      </c>
      <c r="C747">
        <f>BESSELI(1.5,1)</f>
        <v>0.98166642847516605</v>
      </c>
      <c r="E747" s="1" t="s">
        <v>1539</v>
      </c>
    </row>
    <row r="748" spans="1:5" x14ac:dyDescent="0.25">
      <c r="A748" t="s">
        <v>1461</v>
      </c>
      <c r="B748" s="1" t="s">
        <v>1540</v>
      </c>
      <c r="C748">
        <f>BESSELI(2.5,0)</f>
        <v>3.2898391723912908</v>
      </c>
      <c r="E748" s="1" t="s">
        <v>1541</v>
      </c>
    </row>
    <row r="749" spans="1:5" x14ac:dyDescent="0.25">
      <c r="A749" t="s">
        <v>1461</v>
      </c>
      <c r="B749" s="1" t="s">
        <v>1542</v>
      </c>
      <c r="C749">
        <f>BESSELI(4,3)</f>
        <v>3.3372758428109215</v>
      </c>
      <c r="E749" s="1" t="s">
        <v>1543</v>
      </c>
    </row>
    <row r="750" spans="1:5" x14ac:dyDescent="0.25">
      <c r="A750" t="s">
        <v>1461</v>
      </c>
      <c r="B750" s="1" t="s">
        <v>1544</v>
      </c>
      <c r="C750">
        <f>BESSELJ(1.9,2)</f>
        <v>0.3299258286697852</v>
      </c>
      <c r="E750" s="1" t="s">
        <v>1545</v>
      </c>
    </row>
    <row r="751" spans="1:5" x14ac:dyDescent="0.25">
      <c r="A751" t="s">
        <v>1461</v>
      </c>
      <c r="B751" s="1" t="s">
        <v>1546</v>
      </c>
      <c r="C751">
        <f>BESSELJ(10,0)</f>
        <v>-0.24593576444129961</v>
      </c>
      <c r="E751" s="1" t="s">
        <v>1547</v>
      </c>
    </row>
    <row r="752" spans="1:5" x14ac:dyDescent="0.25">
      <c r="A752" t="s">
        <v>1461</v>
      </c>
      <c r="B752" s="1" t="s">
        <v>1548</v>
      </c>
      <c r="C752">
        <f>BESSELJ(0.5,1)</f>
        <v>0.24226845767957006</v>
      </c>
      <c r="E752" s="1" t="s">
        <v>1549</v>
      </c>
    </row>
    <row r="753" spans="1:5" x14ac:dyDescent="0.25">
      <c r="A753" t="s">
        <v>1461</v>
      </c>
      <c r="B753" s="1" t="s">
        <v>1550</v>
      </c>
      <c r="C753">
        <f>BESSELJ(15,5)</f>
        <v>0.13045601477822388</v>
      </c>
      <c r="E753" s="1" t="s">
        <v>1551</v>
      </c>
    </row>
    <row r="754" spans="1:5" x14ac:dyDescent="0.25">
      <c r="A754" t="s">
        <v>1461</v>
      </c>
      <c r="B754" s="1" t="s">
        <v>1552</v>
      </c>
      <c r="C754">
        <f>BESSELK(1.5,1)</f>
        <v>0.27738780363225868</v>
      </c>
      <c r="E754" s="1" t="s">
        <v>1553</v>
      </c>
    </row>
    <row r="755" spans="1:5" x14ac:dyDescent="0.25">
      <c r="A755" t="s">
        <v>1461</v>
      </c>
      <c r="B755" s="1" t="s">
        <v>1554</v>
      </c>
      <c r="C755">
        <f>BESSELK(0.5,0)</f>
        <v>0.9244190350213235</v>
      </c>
      <c r="E755" s="1" t="s">
        <v>1555</v>
      </c>
    </row>
    <row r="756" spans="1:5" x14ac:dyDescent="0.25">
      <c r="A756" t="s">
        <v>1461</v>
      </c>
      <c r="B756" s="1" t="s">
        <v>1556</v>
      </c>
      <c r="C756">
        <f>BESSELK(3,4)</f>
        <v>0.30585121054817827</v>
      </c>
      <c r="E756" s="1" t="s">
        <v>1557</v>
      </c>
    </row>
    <row r="757" spans="1:5" x14ac:dyDescent="0.25">
      <c r="A757" t="s">
        <v>1461</v>
      </c>
      <c r="B757" s="1" t="s">
        <v>1558</v>
      </c>
      <c r="C757">
        <f>BESSELY(2.5,1)</f>
        <v>0.14591813750831284</v>
      </c>
      <c r="E757" s="1" t="s">
        <v>1559</v>
      </c>
    </row>
    <row r="758" spans="1:5" x14ac:dyDescent="0.25">
      <c r="A758" t="s">
        <v>1461</v>
      </c>
      <c r="B758" s="1" t="s">
        <v>1560</v>
      </c>
      <c r="C758">
        <f>BESSELY(10,0)</f>
        <v>5.5671167430951227E-2</v>
      </c>
      <c r="E758" s="1" t="s">
        <v>1561</v>
      </c>
    </row>
    <row r="759" spans="1:5" x14ac:dyDescent="0.25">
      <c r="A759" t="s">
        <v>1461</v>
      </c>
      <c r="B759" s="1" t="s">
        <v>1562</v>
      </c>
      <c r="C759">
        <f>BESSELY(1,3)</f>
        <v>-5.8215176322626707</v>
      </c>
      <c r="E759" s="1" t="s">
        <v>1563</v>
      </c>
    </row>
    <row r="760" spans="1:5" x14ac:dyDescent="0.25">
      <c r="A760" t="s">
        <v>1461</v>
      </c>
      <c r="B760" s="1" t="s">
        <v>1564</v>
      </c>
      <c r="C760">
        <f>CONVERT(1,"lbm","kg")</f>
        <v>0.45359237000000002</v>
      </c>
      <c r="E760" s="1" t="s">
        <v>1565</v>
      </c>
    </row>
    <row r="761" spans="1:5" x14ac:dyDescent="0.25">
      <c r="A761" t="s">
        <v>1461</v>
      </c>
      <c r="B761" s="1" t="s">
        <v>1566</v>
      </c>
      <c r="C761">
        <f>CONVERT(68,"F","C")</f>
        <v>20</v>
      </c>
      <c r="E761" s="1" t="s">
        <v>1567</v>
      </c>
    </row>
    <row r="762" spans="1:5" x14ac:dyDescent="0.25">
      <c r="A762" t="s">
        <v>1461</v>
      </c>
      <c r="B762" s="1" t="s">
        <v>1568</v>
      </c>
      <c r="C762" t="e">
        <f>CONVERT(2.5,"ft","sec")</f>
        <v>#N/A</v>
      </c>
      <c r="E762" s="1" t="s">
        <v>1569</v>
      </c>
    </row>
    <row r="763" spans="1:5" x14ac:dyDescent="0.25">
      <c r="A763" t="s">
        <v>1461</v>
      </c>
      <c r="B763" s="1" t="s">
        <v>1570</v>
      </c>
      <c r="C763">
        <f>CONVERT(CONVERT(100,"ft","m"),"ft","m")</f>
        <v>9.2903040000000008</v>
      </c>
      <c r="E763" s="1" t="s">
        <v>1571</v>
      </c>
    </row>
    <row r="764" spans="1:5" x14ac:dyDescent="0.25">
      <c r="A764" t="s">
        <v>1461</v>
      </c>
      <c r="B764" s="1" t="s">
        <v>1572</v>
      </c>
      <c r="C764">
        <f>CONVERT(1,"mi","km")</f>
        <v>1.6093440000000001</v>
      </c>
      <c r="E764" s="1" t="s">
        <v>1573</v>
      </c>
    </row>
    <row r="765" spans="1:5" x14ac:dyDescent="0.25">
      <c r="A765" t="s">
        <v>1461</v>
      </c>
      <c r="B765" s="1" t="s">
        <v>1574</v>
      </c>
      <c r="C765">
        <f>CONVERT(10,"in","cm")</f>
        <v>25.4</v>
      </c>
      <c r="E765" s="1" t="s">
        <v>1575</v>
      </c>
    </row>
    <row r="766" spans="1:5" x14ac:dyDescent="0.25">
      <c r="A766" t="s">
        <v>1461</v>
      </c>
      <c r="B766" s="1" t="s">
        <v>1576</v>
      </c>
      <c r="C766">
        <f>CONVERT(1,"yr","day")</f>
        <v>365.25</v>
      </c>
      <c r="E766" s="1" t="s">
        <v>1577</v>
      </c>
    </row>
    <row r="767" spans="1:5" x14ac:dyDescent="0.25">
      <c r="A767" t="s">
        <v>1461</v>
      </c>
      <c r="B767" s="1" t="s">
        <v>1578</v>
      </c>
      <c r="C767">
        <f>CONVERT(1,"atm","mmHg")</f>
        <v>760.00210017851521</v>
      </c>
      <c r="E767" s="1" t="s">
        <v>1579</v>
      </c>
    </row>
    <row r="768" spans="1:5" x14ac:dyDescent="0.25">
      <c r="A768" t="s">
        <v>1461</v>
      </c>
      <c r="B768" s="1" t="s">
        <v>1580</v>
      </c>
      <c r="C768">
        <f>CONVERT(1,"cal","J")</f>
        <v>4.1867999999999999</v>
      </c>
      <c r="E768" s="1" t="s">
        <v>1581</v>
      </c>
    </row>
    <row r="769" spans="1:5" x14ac:dyDescent="0.25">
      <c r="A769" t="s">
        <v>1461</v>
      </c>
      <c r="B769" s="1" t="s">
        <v>1582</v>
      </c>
      <c r="C769">
        <f>CONVERT(1,"HP","W")</f>
        <v>745.69987158227025</v>
      </c>
      <c r="E769" s="1" t="s">
        <v>1583</v>
      </c>
    </row>
    <row r="770" spans="1:5" x14ac:dyDescent="0.25">
      <c r="A770" t="s">
        <v>1461</v>
      </c>
      <c r="B770" s="1" t="s">
        <v>1584</v>
      </c>
      <c r="C770">
        <f>CONVERT(1,"gal","l")</f>
        <v>3.7854117839999999</v>
      </c>
      <c r="E770" s="1" t="s">
        <v>1585</v>
      </c>
    </row>
    <row r="771" spans="1:5" x14ac:dyDescent="0.25">
      <c r="A771" t="s">
        <v>1461</v>
      </c>
      <c r="B771" s="1" t="s">
        <v>1586</v>
      </c>
      <c r="C771">
        <f>CONVERT(1,"uk_gal","l")</f>
        <v>4.5460900000000004</v>
      </c>
      <c r="E771" s="1" t="s">
        <v>1587</v>
      </c>
    </row>
    <row r="772" spans="1:5" x14ac:dyDescent="0.25">
      <c r="A772" t="s">
        <v>1461</v>
      </c>
      <c r="B772" s="1" t="s">
        <v>1588</v>
      </c>
      <c r="C772">
        <f>CONVERT(100,"C","K")</f>
        <v>373.15</v>
      </c>
      <c r="E772" s="1" t="s">
        <v>1589</v>
      </c>
    </row>
    <row r="773" spans="1:5" x14ac:dyDescent="0.25">
      <c r="A773" t="s">
        <v>1461</v>
      </c>
      <c r="B773" s="1" t="s">
        <v>1590</v>
      </c>
      <c r="C773">
        <f>CONVERT(0,"C","Rank")</f>
        <v>491.66999999999996</v>
      </c>
      <c r="E773" s="1" t="s">
        <v>1591</v>
      </c>
    </row>
    <row r="774" spans="1:5" x14ac:dyDescent="0.25">
      <c r="A774" t="s">
        <v>1461</v>
      </c>
      <c r="B774" s="1" t="s">
        <v>1592</v>
      </c>
      <c r="C774">
        <f>CONVERT(1,"kn","m/s")</f>
        <v>0.51444444444444448</v>
      </c>
      <c r="E774" s="1" t="s">
        <v>1593</v>
      </c>
    </row>
    <row r="775" spans="1:5" x14ac:dyDescent="0.25">
      <c r="A775" t="s">
        <v>1461</v>
      </c>
      <c r="B775" s="1" t="s">
        <v>1594</v>
      </c>
      <c r="C775">
        <f>CONVERT(1,"mph","m/s")</f>
        <v>0.44703999999999999</v>
      </c>
      <c r="E775" s="1" t="s">
        <v>1595</v>
      </c>
    </row>
    <row r="776" spans="1:5" x14ac:dyDescent="0.25">
      <c r="A776" t="s">
        <v>1461</v>
      </c>
      <c r="B776" s="1" t="s">
        <v>1596</v>
      </c>
      <c r="C776">
        <f>CONVERT(1,"ha","m2")</f>
        <v>10000</v>
      </c>
      <c r="E776" s="1" t="s">
        <v>1597</v>
      </c>
    </row>
    <row r="777" spans="1:5" x14ac:dyDescent="0.25">
      <c r="A777" t="s">
        <v>1461</v>
      </c>
      <c r="B777" s="1" t="s">
        <v>1598</v>
      </c>
      <c r="C777">
        <f>CONVERT(1,"km2","m2")</f>
        <v>1000000</v>
      </c>
      <c r="E777" s="1" t="s">
        <v>1599</v>
      </c>
    </row>
    <row r="778" spans="1:5" x14ac:dyDescent="0.25">
      <c r="A778" t="s">
        <v>1461</v>
      </c>
      <c r="B778" s="1" t="s">
        <v>1600</v>
      </c>
      <c r="C778">
        <f>CONVERT(1,"m3","l")</f>
        <v>1000</v>
      </c>
      <c r="E778" s="1" t="s">
        <v>1601</v>
      </c>
    </row>
    <row r="779" spans="1:5" x14ac:dyDescent="0.25">
      <c r="A779" t="s">
        <v>1461</v>
      </c>
      <c r="B779" s="1" t="s">
        <v>1602</v>
      </c>
      <c r="C779">
        <f>CONVERT(1,"Gibyte","bit")</f>
        <v>8589934592</v>
      </c>
      <c r="E779" s="1" t="s">
        <v>1603</v>
      </c>
    </row>
    <row r="780" spans="1:5" x14ac:dyDescent="0.25">
      <c r="A780" t="s">
        <v>1461</v>
      </c>
      <c r="B780" s="1" t="s">
        <v>1604</v>
      </c>
      <c r="C780">
        <f>CONVERT(1,"kbyte","byte")</f>
        <v>1000</v>
      </c>
      <c r="E780" s="1" t="s">
        <v>1605</v>
      </c>
    </row>
    <row r="781" spans="1:5" x14ac:dyDescent="0.25">
      <c r="A781" t="s">
        <v>1461</v>
      </c>
      <c r="B781" s="1" t="s">
        <v>1606</v>
      </c>
      <c r="C781">
        <f>CONVERT(1,"BTU","J")</f>
        <v>1055.05585262</v>
      </c>
      <c r="E781" s="1" t="s">
        <v>1607</v>
      </c>
    </row>
    <row r="782" spans="1:5" x14ac:dyDescent="0.25">
      <c r="A782" t="s">
        <v>1461</v>
      </c>
      <c r="B782" s="1" t="s">
        <v>1608</v>
      </c>
      <c r="C782">
        <f>CONVERT(1,"eV","J")</f>
        <v>1.602176487E-19</v>
      </c>
      <c r="E782" s="1" t="s">
        <v>1609</v>
      </c>
    </row>
    <row r="783" spans="1:5" x14ac:dyDescent="0.25">
      <c r="A783" t="s">
        <v>1461</v>
      </c>
      <c r="B783" s="1" t="s">
        <v>1610</v>
      </c>
      <c r="C783">
        <f>CONVERT(1,"T","ga")</f>
        <v>10000</v>
      </c>
      <c r="E783" s="1" t="s">
        <v>1611</v>
      </c>
    </row>
    <row r="784" spans="1:5" x14ac:dyDescent="0.25">
      <c r="A784" t="s">
        <v>1461</v>
      </c>
      <c r="B784" s="1" t="s">
        <v>1612</v>
      </c>
      <c r="C784">
        <f>CONVERT(1,"stone","kg")</f>
        <v>6.3502931799999995</v>
      </c>
      <c r="E784" s="1" t="s">
        <v>1613</v>
      </c>
    </row>
    <row r="785" spans="1:5" x14ac:dyDescent="0.25">
      <c r="A785" t="s">
        <v>1461</v>
      </c>
      <c r="B785" s="1" t="s">
        <v>1614</v>
      </c>
      <c r="C785">
        <f>CONVERT(1,"ozm","g")</f>
        <v>28.349523125000001</v>
      </c>
      <c r="E785" s="1" t="s">
        <v>1615</v>
      </c>
    </row>
    <row r="786" spans="1:5" x14ac:dyDescent="0.25">
      <c r="A786" t="s">
        <v>1461</v>
      </c>
      <c r="B786" s="1" t="s">
        <v>1616</v>
      </c>
      <c r="C786">
        <f>CONVERT(1,"psi","Pa")</f>
        <v>6894.7572931683617</v>
      </c>
      <c r="E786" s="1" t="s">
        <v>1617</v>
      </c>
    </row>
    <row r="787" spans="1:5" x14ac:dyDescent="0.25">
      <c r="A787" t="s">
        <v>1461</v>
      </c>
      <c r="B787" s="1" t="s">
        <v>1618</v>
      </c>
      <c r="C787">
        <f>CONVERT(1,"Nmi","m")</f>
        <v>1852</v>
      </c>
      <c r="E787" s="1" t="s">
        <v>1619</v>
      </c>
    </row>
    <row r="788" spans="1:5" x14ac:dyDescent="0.25">
      <c r="A788" t="s">
        <v>1461</v>
      </c>
      <c r="B788" s="1" t="s">
        <v>1620</v>
      </c>
      <c r="C788">
        <f>CONVERT(1,"ly","m")</f>
        <v>9460730472580800</v>
      </c>
      <c r="E788" s="1" t="s">
        <v>1621</v>
      </c>
    </row>
    <row r="789" spans="1:5" x14ac:dyDescent="0.25">
      <c r="A789" t="s">
        <v>1461</v>
      </c>
      <c r="B789" s="1" t="s">
        <v>1622</v>
      </c>
      <c r="C789">
        <f>CONVERT(1,"cup","tsp")</f>
        <v>48</v>
      </c>
      <c r="E789" s="1" t="s">
        <v>1623</v>
      </c>
    </row>
    <row r="790" spans="1:5" x14ac:dyDescent="0.25">
      <c r="A790" t="s">
        <v>1461</v>
      </c>
      <c r="B790" s="1" t="s">
        <v>1624</v>
      </c>
      <c r="C790">
        <f>CONVERT(1,"lbf","N")</f>
        <v>4.4482216152605005</v>
      </c>
      <c r="E790" s="1" t="s">
        <v>1625</v>
      </c>
    </row>
    <row r="791" spans="1:5" x14ac:dyDescent="0.25">
      <c r="A791" t="s">
        <v>1461</v>
      </c>
      <c r="B791" s="1" t="s">
        <v>1626</v>
      </c>
      <c r="C791">
        <f>CONVERT(1,"Wh","J")</f>
        <v>3600</v>
      </c>
      <c r="E791" s="1" t="s">
        <v>1627</v>
      </c>
    </row>
    <row r="792" spans="1:5" x14ac:dyDescent="0.25">
      <c r="A792" t="s">
        <v>1461</v>
      </c>
      <c r="B792" s="1" t="s">
        <v>1628</v>
      </c>
      <c r="C792">
        <f>CONVERT(1,"mm","ang")</f>
        <v>10000000</v>
      </c>
      <c r="E792" s="1" t="s">
        <v>1629</v>
      </c>
    </row>
    <row r="793" spans="1:5" x14ac:dyDescent="0.25">
      <c r="A793" t="s">
        <v>1461</v>
      </c>
      <c r="B793" s="1" t="s">
        <v>1630</v>
      </c>
      <c r="C793">
        <f>CONVERT(1,"ft3","l")</f>
        <v>28.316846592000001</v>
      </c>
      <c r="E793" s="1" t="s">
        <v>1631</v>
      </c>
    </row>
    <row r="794" spans="1:5" x14ac:dyDescent="0.25">
      <c r="A794" t="s">
        <v>1461</v>
      </c>
      <c r="B794" s="1" t="s">
        <v>1632</v>
      </c>
      <c r="C794">
        <f>CONVERT(1,"in2","cm2")</f>
        <v>6.4516</v>
      </c>
      <c r="E794" s="1" t="s">
        <v>1633</v>
      </c>
    </row>
    <row r="795" spans="1:5" x14ac:dyDescent="0.25">
      <c r="A795" t="s">
        <v>1461</v>
      </c>
      <c r="B795" s="1" t="s">
        <v>1634</v>
      </c>
      <c r="C795">
        <f>CONVERT(1,"barrel","gal")</f>
        <v>42.000000000000007</v>
      </c>
      <c r="E795" s="1" t="s">
        <v>1635</v>
      </c>
    </row>
    <row r="796" spans="1:5" x14ac:dyDescent="0.25">
      <c r="A796" t="s">
        <v>1461</v>
      </c>
      <c r="B796" s="1" t="s">
        <v>1636</v>
      </c>
      <c r="C796">
        <f>CONVERT(1,"Reau","C")</f>
        <v>1.25</v>
      </c>
      <c r="E796" s="1" t="s">
        <v>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Данные</vt:lpstr>
      <vt:lpstr>Кв1</vt:lpstr>
      <vt:lpstr>Кв2</vt:lpstr>
      <vt:lpstr>Кв3</vt:lpstr>
      <vt:lpstr>Формулы</vt:lpstr>
      <vt:lpstr>Суммы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2026-10-10T16:59:33Z</dcterms:created>
  <dcterms:modified xsi:type="dcterms:W3CDTF">2026-10-10T17:00:13Z</dcterms:modified>
</cp:coreProperties>
</file>